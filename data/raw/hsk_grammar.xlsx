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uage Player Chinese Grammar" sheetId="1" r:id="rId5"/>
    <sheet state="visible" name="Sheet1" sheetId="2" r:id="rId6"/>
  </sheets>
  <definedNames/>
  <calcPr/>
</workbook>
</file>

<file path=xl/sharedStrings.xml><?xml version="1.0" encoding="utf-8"?>
<sst xmlns="http://schemas.openxmlformats.org/spreadsheetml/2006/main" count="6449" uniqueCount="5215">
  <si>
    <t>id</t>
  </si>
  <si>
    <t>code</t>
  </si>
  <si>
    <t>structure</t>
  </si>
  <si>
    <t>pattern</t>
  </si>
  <si>
    <t>pinyin</t>
  </si>
  <si>
    <t>english</t>
  </si>
  <si>
    <t>example</t>
  </si>
  <si>
    <t>exampleTranslation</t>
  </si>
  <si>
    <t>url</t>
  </si>
  <si>
    <t>1.03.1</t>
  </si>
  <si>
    <t>什么</t>
  </si>
  <si>
    <t>shénme</t>
  </si>
  <si>
    <t>what</t>
  </si>
  <si>
    <t>这是什么?</t>
  </si>
  <si>
    <t>What is this?</t>
  </si>
  <si>
    <t>https://chinesezerotohero.teachable.com/courses/185499/lectures/2839923</t>
  </si>
  <si>
    <t>什么 N</t>
  </si>
  <si>
    <t>shénme N</t>
  </si>
  <si>
    <t>what kind of N</t>
  </si>
  <si>
    <t>那是什么书?</t>
  </si>
  <si>
    <t>What book is that?</t>
  </si>
  <si>
    <t>https://chinesezerotohero.teachable.com/courses/185499/lectures/2839924</t>
  </si>
  <si>
    <t>1.03.2</t>
  </si>
  <si>
    <t>不是</t>
  </si>
  <si>
    <t>bùshì</t>
  </si>
  <si>
    <t>not to be</t>
  </si>
  <si>
    <t>我不是美国人。</t>
  </si>
  <si>
    <t>I am not an American.</t>
  </si>
  <si>
    <t>是</t>
  </si>
  <si>
    <t>shì</t>
  </si>
  <si>
    <t>to be</t>
  </si>
  <si>
    <t>她是老师。</t>
  </si>
  <si>
    <t>She is a teacher.</t>
  </si>
  <si>
    <t>1.03.3</t>
  </si>
  <si>
    <t>吗?</t>
  </si>
  <si>
    <t>ma?</t>
  </si>
  <si>
    <t>right?</t>
  </si>
  <si>
    <t>你是老师吗?</t>
  </si>
  <si>
    <t>You’re a teacher, right?</t>
  </si>
  <si>
    <t>https://chinesezerotohero.teachable.com/courses/185499/lectures/2839920</t>
  </si>
  <si>
    <t>1.04.1</t>
  </si>
  <si>
    <t>谁</t>
  </si>
  <si>
    <t>shéi</t>
  </si>
  <si>
    <t>who</t>
  </si>
  <si>
    <t>她是谁?</t>
  </si>
  <si>
    <t>Who is she?</t>
  </si>
  <si>
    <t>https://chinesezerotohero.teachable.com/courses/185499/lectures/2843816</t>
  </si>
  <si>
    <t>哪 M N</t>
  </si>
  <si>
    <t>nǎ M N</t>
  </si>
  <si>
    <t>which N</t>
  </si>
  <si>
    <t>哪个人?</t>
  </si>
  <si>
    <t>Which person?</t>
  </si>
  <si>
    <t>1.04.2</t>
  </si>
  <si>
    <t>(的)</t>
  </si>
  <si>
    <t>( de)</t>
  </si>
  <si>
    <t>’s</t>
  </si>
  <si>
    <t>她是我 (的) 老师。</t>
  </si>
  <si>
    <t>She is my teacher.</t>
  </si>
  <si>
    <t>https://chinesezerotohero.teachable.com/courses/185499/lectures/2843817</t>
  </si>
  <si>
    <t>1.04.3</t>
  </si>
  <si>
    <t>N 呢?</t>
  </si>
  <si>
    <t>N ne?</t>
  </si>
  <si>
    <t>what about N?</t>
  </si>
  <si>
    <t>我是中国人，你呢?</t>
  </si>
  <si>
    <t>I am Chinese, what about you?</t>
  </si>
  <si>
    <t>https://chinesezerotohero.teachable.com/courses/185499/lectures/2843821</t>
  </si>
  <si>
    <t>1.05.1</t>
  </si>
  <si>
    <t>几 M N</t>
  </si>
  <si>
    <t>jǐ M N</t>
  </si>
  <si>
    <t>how many N</t>
  </si>
  <si>
    <t>你有几个汉语老师?</t>
  </si>
  <si>
    <t>How many teachers do you have?</t>
  </si>
  <si>
    <t>https://chinesezerotohero.teachable.com/courses/185499/lectures/2843846</t>
  </si>
  <si>
    <t>1.05.2</t>
  </si>
  <si>
    <t>一～九十九</t>
  </si>
  <si>
    <t>yī～ jiǔ shíjiǔ</t>
  </si>
  <si>
    <t>1 ~ 99</t>
  </si>
  <si>
    <t>九十一</t>
  </si>
  <si>
    <t>1 - 99</t>
  </si>
  <si>
    <t>https://chinesezerotohero.teachable.com/courses/185499/lectures/2843842</t>
  </si>
  <si>
    <t>1.05.3</t>
  </si>
  <si>
    <t>AGE 了</t>
  </si>
  <si>
    <t>AGE le</t>
  </si>
  <si>
    <t>became AGE</t>
  </si>
  <si>
    <t>我40岁了。</t>
  </si>
  <si>
    <t>I’m 40 years old.</t>
  </si>
  <si>
    <t>https://chinesezerotohero.teachable.com/courses/185499/lectures/2843845</t>
  </si>
  <si>
    <t>1.05.4</t>
  </si>
  <si>
    <t>多大</t>
  </si>
  <si>
    <t>duōdà</t>
  </si>
  <si>
    <t>how old</t>
  </si>
  <si>
    <t>你女儿多大了？</t>
  </si>
  <si>
    <t>How old is your daughter?</t>
  </si>
  <si>
    <t>https://chinesezerotohero.teachable.com/courses/185499/lectures/2843844</t>
  </si>
  <si>
    <t>1.06.1</t>
  </si>
  <si>
    <t>会 V</t>
  </si>
  <si>
    <t>huì V</t>
  </si>
  <si>
    <t>know how to V</t>
  </si>
  <si>
    <t>我会写。</t>
  </si>
  <si>
    <t>I know how to write.</t>
  </si>
  <si>
    <t>https://chinesezerotohero.teachable.com/courses/185499/lectures/2844550</t>
  </si>
  <si>
    <t>1.06.2</t>
  </si>
  <si>
    <t>很</t>
  </si>
  <si>
    <t>hěn</t>
  </si>
  <si>
    <t>very</t>
  </si>
  <si>
    <t>我很好</t>
  </si>
  <si>
    <t>I am good.</t>
  </si>
  <si>
    <t>https://chinesezerotohero.teachable.com/courses/185499/lectures/2843971</t>
  </si>
  <si>
    <t>1.06.3</t>
  </si>
  <si>
    <t>怎么 V</t>
  </si>
  <si>
    <t>zěnme V</t>
  </si>
  <si>
    <t>how to V</t>
  </si>
  <si>
    <t>这个怎么读?</t>
  </si>
  <si>
    <t>How do you read this?</t>
  </si>
  <si>
    <t>https://chinesezerotohero.teachable.com/courses/185499/lectures/2843972</t>
  </si>
  <si>
    <t>1.07.1</t>
  </si>
  <si>
    <t>月、号/日、星期</t>
  </si>
  <si>
    <t>yuè、 hào/ rì、 xīngqī</t>
  </si>
  <si>
    <t>(telling dates)</t>
  </si>
  <si>
    <t>九月二号/日星期四</t>
  </si>
  <si>
    <t>https://chinesezerotohero.teachable.com/courses/185499/lectures/2843976</t>
  </si>
  <si>
    <t>1.07.2</t>
  </si>
  <si>
    <t>(omitting 是)</t>
  </si>
  <si>
    <t>我汉语老师33岁。</t>
  </si>
  <si>
    <t>My Chinese teacher is 33.</t>
  </si>
  <si>
    <t>https://chinesezerotohero.teachable.com/courses/185499/lectures/2843973</t>
  </si>
  <si>
    <t>1.07.3</t>
  </si>
  <si>
    <t>去 PLACE V</t>
  </si>
  <si>
    <t>qù PLACE V</t>
  </si>
  <si>
    <t>go to PLACE to do V</t>
  </si>
  <si>
    <t>我去学校学习。</t>
  </si>
  <si>
    <t>I go to school to study.</t>
  </si>
  <si>
    <t>https://chinesezerotohero.teachable.com/courses/185499/lectures/2843974</t>
  </si>
  <si>
    <t>1.08.1</t>
  </si>
  <si>
    <t>想</t>
  </si>
  <si>
    <t>xiǎng</t>
  </si>
  <si>
    <t>to want</t>
  </si>
  <si>
    <t>我想看书</t>
  </si>
  <si>
    <t>I want to read books.</t>
  </si>
  <si>
    <t>https://chinesezerotohero.teachable.com/courses/185499/lectures/2843981</t>
  </si>
  <si>
    <t>1.08.2</t>
  </si>
  <si>
    <t>多少 N</t>
  </si>
  <si>
    <t>duōshao N</t>
  </si>
  <si>
    <t>how much N</t>
  </si>
  <si>
    <t>你有多少汉语老师?</t>
  </si>
  <si>
    <t>How many Chinese teachers do you have?</t>
  </si>
  <si>
    <t>https://chinesezerotohero.teachable.com/courses/185499/lectures/2843978</t>
  </si>
  <si>
    <t>1.08.3</t>
  </si>
  <si>
    <t>个</t>
  </si>
  <si>
    <t>gè</t>
  </si>
  <si>
    <t>(measure word)</t>
  </si>
  <si>
    <t>五个学生</t>
  </si>
  <si>
    <t>5 students</t>
  </si>
  <si>
    <t>https://chinesezerotohero.teachable.com/courses/185499/lectures/2843979</t>
  </si>
  <si>
    <t>口</t>
  </si>
  <si>
    <t>kǒu</t>
  </si>
  <si>
    <t>我家有五口人。</t>
  </si>
  <si>
    <t>There are 5 people in our family.</t>
  </si>
  <si>
    <t>1.08.4</t>
  </si>
  <si>
    <t>元／块</t>
  </si>
  <si>
    <t>yuán／ kuài</t>
  </si>
  <si>
    <t>(currency)</t>
  </si>
  <si>
    <t>一元／块</t>
  </si>
  <si>
    <t>one yuan</t>
  </si>
  <si>
    <t>https://chinesezerotohero.teachable.com/courses/185499/lectures/2843980</t>
  </si>
  <si>
    <t>1.09.1</t>
  </si>
  <si>
    <t>在</t>
  </si>
  <si>
    <t>zài</t>
  </si>
  <si>
    <t>at</t>
  </si>
  <si>
    <t>他在椅子下面</t>
  </si>
  <si>
    <t>He’s under the chair.</t>
  </si>
  <si>
    <t>https://chinesezerotohero.teachable.com/courses/188342/lectures/2863638</t>
  </si>
  <si>
    <t>1.09.2</t>
  </si>
  <si>
    <t>哪儿？</t>
  </si>
  <si>
    <t>nǎr？</t>
  </si>
  <si>
    <t>where</t>
  </si>
  <si>
    <t>我的杯子在哪儿?</t>
  </si>
  <si>
    <t>Where is my cup?</t>
  </si>
  <si>
    <t>https://chinesezerotohero.teachable.com/courses/188342/lectures/2863635</t>
  </si>
  <si>
    <t>1.09.3</t>
  </si>
  <si>
    <t>在 PLACE V</t>
  </si>
  <si>
    <t>zài PLACE V</t>
  </si>
  <si>
    <t>V at PLACE</t>
  </si>
  <si>
    <t>我在朋友家喝茶。</t>
  </si>
  <si>
    <t>I am having tea at my friend’s home.</t>
  </si>
  <si>
    <t>https://chinesezerotohero.teachable.com/courses/188342/lectures/2863639</t>
  </si>
  <si>
    <t>1.09.4</t>
  </si>
  <si>
    <t>Q 呢</t>
  </si>
  <si>
    <t>Q ne</t>
  </si>
  <si>
    <t>I wonder</t>
  </si>
  <si>
    <t>他在哪儿呢?</t>
  </si>
  <si>
    <t>Where is he, I wonder?</t>
  </si>
  <si>
    <t>https://chinesezerotohero.teachable.com/courses/188342/lectures/2863634</t>
  </si>
  <si>
    <t>N 呢？</t>
  </si>
  <si>
    <t>N ne？</t>
  </si>
  <si>
    <t>where is N</t>
  </si>
  <si>
    <t>我的杯子呢?</t>
  </si>
  <si>
    <t>1.10.1</t>
  </si>
  <si>
    <t>PLACE 有 N</t>
  </si>
  <si>
    <t>PLACE yǒu N</t>
  </si>
  <si>
    <t>there is N at PLACE</t>
  </si>
  <si>
    <t>椅子下面有一只小狗</t>
  </si>
  <si>
    <t>There is a dog under the chair.</t>
  </si>
  <si>
    <t>https://chinesezerotohero.teachable.com/courses/188342/lectures/2863637</t>
  </si>
  <si>
    <t>PLACE 没有 N</t>
  </si>
  <si>
    <t>PLACE méiyǒu N</t>
  </si>
  <si>
    <t>there isn’t N at PLACE</t>
  </si>
  <si>
    <t>这儿没有人。</t>
  </si>
  <si>
    <t>There isn’t anyone here.</t>
  </si>
  <si>
    <t>1.10.2</t>
  </si>
  <si>
    <t>和</t>
  </si>
  <si>
    <t>hé</t>
  </si>
  <si>
    <t>and</t>
  </si>
  <si>
    <t>爸爸、妈妈和我</t>
  </si>
  <si>
    <t>dad, mom and I</t>
  </si>
  <si>
    <t>https://chinesezerotohero.teachable.com/courses/188342/lectures/2863641</t>
  </si>
  <si>
    <t>1.10.3</t>
  </si>
  <si>
    <t>能</t>
  </si>
  <si>
    <t>néng</t>
  </si>
  <si>
    <t>can</t>
  </si>
  <si>
    <t>我能坐这儿吗?。</t>
  </si>
  <si>
    <t>Can I sit here?</t>
  </si>
  <si>
    <t>https://chinesezerotohero.teachable.com/courses/188342/lectures/2863640</t>
  </si>
  <si>
    <t>1.10.4</t>
  </si>
  <si>
    <t>请 V</t>
  </si>
  <si>
    <t>qǐng V</t>
  </si>
  <si>
    <t>please V</t>
  </si>
  <si>
    <t>请坐。</t>
  </si>
  <si>
    <t>Please sit.</t>
  </si>
  <si>
    <t>https://chinesezerotohero.teachable.com/courses/188342/lectures/2863643</t>
  </si>
  <si>
    <t>1.11.1</t>
  </si>
  <si>
    <t># 点 # 分</t>
  </si>
  <si>
    <t># diǎn # fēn</t>
  </si>
  <si>
    <t># hour # minute</t>
  </si>
  <si>
    <t>十一点十分</t>
  </si>
  <si>
    <t>https://chinesezerotohero.teachable.com/courses/188342/lectures/2863644</t>
  </si>
  <si>
    <t>上午／下午</t>
  </si>
  <si>
    <t>shàngwǔ／ xiàwǔ</t>
  </si>
  <si>
    <t>AM/PM</t>
  </si>
  <si>
    <t>下午三点十分</t>
  </si>
  <si>
    <t>1.11.2</t>
  </si>
  <si>
    <t>S TIME V</t>
  </si>
  <si>
    <t>(time phrase)</t>
  </si>
  <si>
    <t>妈妈六点做饭。</t>
  </si>
  <si>
    <t>Mom cooks at six.</t>
  </si>
  <si>
    <t>https://chinesezerotohero.teachable.com/courses/188342/lectures/2863645</t>
  </si>
  <si>
    <t>TIME S V</t>
  </si>
  <si>
    <t>七点我吃饭。</t>
  </si>
  <si>
    <t>I eat at seven.</t>
  </si>
  <si>
    <t>1.11.3</t>
  </si>
  <si>
    <t>TIME 前</t>
  </si>
  <si>
    <t>TIME qián</t>
  </si>
  <si>
    <t>before TIME</t>
  </si>
  <si>
    <t>星期五前</t>
  </si>
  <si>
    <t>before Friday</t>
  </si>
  <si>
    <t>https://chinesezerotohero.teachable.com/courses/188342/lectures/2863647</t>
  </si>
  <si>
    <t>DURATION 前</t>
  </si>
  <si>
    <t>DURATION qián</t>
  </si>
  <si>
    <t>DURATION ago</t>
  </si>
  <si>
    <t>一个星期前</t>
  </si>
  <si>
    <t>a week ago</t>
  </si>
  <si>
    <t>1.12.1</t>
  </si>
  <si>
    <t>N 怎么样？</t>
  </si>
  <si>
    <t>N zěnmeyàng？</t>
  </si>
  <si>
    <t>how is N?</t>
  </si>
  <si>
    <t>你的汉语怎么样？</t>
  </si>
  <si>
    <t>How is your Chinese?</t>
  </si>
  <si>
    <t>https://chinesezerotohero.teachable.com/courses/188342/lectures/2863649</t>
  </si>
  <si>
    <t>1.12.2</t>
  </si>
  <si>
    <t>(omission of 的)</t>
  </si>
  <si>
    <t>我身体不太好。</t>
  </si>
  <si>
    <t>My health isn’t very good.</t>
  </si>
  <si>
    <t>https://chinesezerotohero.teachable.com/courses/188342/lectures/2863650</t>
  </si>
  <si>
    <t>1.12.3</t>
  </si>
  <si>
    <t>太 A (了)</t>
  </si>
  <si>
    <t>tài A ( le)</t>
  </si>
  <si>
    <t>too A</t>
  </si>
  <si>
    <t>天气太冷 (了)。</t>
  </si>
  <si>
    <t>The weather’s too cold.</t>
  </si>
  <si>
    <t>https://chinesezerotohero.teachable.com/courses/188342/lectures/2863651</t>
  </si>
  <si>
    <t>(不) 太 A</t>
  </si>
  <si>
    <t>( bù) tài A</t>
  </si>
  <si>
    <t>not too A</t>
  </si>
  <si>
    <t>My health is not too good.</t>
  </si>
  <si>
    <t>1.12.4</t>
  </si>
  <si>
    <t>will V</t>
  </si>
  <si>
    <t>你会回家吗？</t>
  </si>
  <si>
    <t>Will you come home?</t>
  </si>
  <si>
    <t>https://chinesezerotohero.teachable.com/courses/188342/lectures/2863652</t>
  </si>
  <si>
    <t>1.13.1</t>
  </si>
  <si>
    <t>喂</t>
  </si>
  <si>
    <t>wèi</t>
  </si>
  <si>
    <t>hello</t>
  </si>
  <si>
    <t>喂，李老师在家吗？</t>
  </si>
  <si>
    <t>Hello, is Teacher Li home?</t>
  </si>
  <si>
    <t>https://chinesezerotohero.teachable.com/courses/188342/lectures/2863654</t>
  </si>
  <si>
    <t>1.13.2</t>
  </si>
  <si>
    <t>在 V (呢)</t>
  </si>
  <si>
    <t>zài V ( ne)</t>
  </si>
  <si>
    <t>V-ing</t>
  </si>
  <si>
    <t>我在睡觉 (呢)。</t>
  </si>
  <si>
    <t>I’m sleeping.</t>
  </si>
  <si>
    <t>https://chinesezerotohero.teachable.com/courses/188342/lectures/2863656</t>
  </si>
  <si>
    <t>没 在 V (呢)</t>
  </si>
  <si>
    <t>méi zài V ( ne)</t>
  </si>
  <si>
    <t>not V-ing</t>
  </si>
  <si>
    <t>他们没在看电视 (呢)。</t>
  </si>
  <si>
    <t>They’re not watching TV.</t>
  </si>
  <si>
    <t>https://chinesezerotohero.teachable.com/courses/188342/lectures/2863655</t>
  </si>
  <si>
    <t>1.13.3</t>
  </si>
  <si>
    <t>1 (yāo)</t>
  </si>
  <si>
    <t>(1 in telephony)</t>
  </si>
  <si>
    <t>138-0156-7749</t>
  </si>
  <si>
    <t>1 reads as yāo.</t>
  </si>
  <si>
    <t>1.13.4</t>
  </si>
  <si>
    <t>V 吧。</t>
  </si>
  <si>
    <t>V ba。</t>
  </si>
  <si>
    <t>feel free to V</t>
  </si>
  <si>
    <t>这儿没有人，坐吧。</t>
  </si>
  <si>
    <t>Nobody’s here, (feel free to) sit.</t>
  </si>
  <si>
    <t>https://chinesezerotohero.teachable.com/courses/188342/lectures/2863657</t>
  </si>
  <si>
    <t>1.14.1</t>
  </si>
  <si>
    <t>V O 了</t>
  </si>
  <si>
    <t>V O le</t>
  </si>
  <si>
    <t>have V’ed O</t>
  </si>
  <si>
    <t>他去学校了。</t>
  </si>
  <si>
    <t>He went to learn how to drive.</t>
  </si>
  <si>
    <t>https://chinesezerotohero.teachable.com/courses/188342/lectures/2863659</t>
  </si>
  <si>
    <t>V 了 O</t>
  </si>
  <si>
    <t>V le O</t>
  </si>
  <si>
    <t>我买了不少衣服。</t>
  </si>
  <si>
    <t>I bought a lot of clothes.</t>
  </si>
  <si>
    <t>没 V O</t>
  </si>
  <si>
    <t>méi V O</t>
  </si>
  <si>
    <t>have not V’ed O</t>
  </si>
  <si>
    <t>她没去商店。</t>
  </si>
  <si>
    <t>She didn’t go to the store.</t>
  </si>
  <si>
    <t>1.14.2</t>
  </si>
  <si>
    <t>TIME 后</t>
  </si>
  <si>
    <t>TIME hòu</t>
  </si>
  <si>
    <t>after TIME</t>
  </si>
  <si>
    <t>五点后</t>
  </si>
  <si>
    <t>after 5</t>
  </si>
  <si>
    <t>https://chinesezerotohero.teachable.com/courses/188342/lectures/2863661</t>
  </si>
  <si>
    <t>DURATION 后</t>
  </si>
  <si>
    <t>DURATION hòu</t>
  </si>
  <si>
    <t>after DURATION</t>
  </si>
  <si>
    <t>四十分钟后</t>
  </si>
  <si>
    <t>after 40 minutes</t>
  </si>
  <si>
    <t>1.14.3</t>
  </si>
  <si>
    <t>……啊</t>
  </si>
  <si>
    <t>…… ā</t>
  </si>
  <si>
    <t>(exclamation)</t>
  </si>
  <si>
    <t>好啊。是啊。</t>
  </si>
  <si>
    <t>Sure! Yeah!</t>
  </si>
  <si>
    <t>https://chinesezerotohero.teachable.com/courses/188342/lectures/2863660</t>
  </si>
  <si>
    <t>1.14.4</t>
  </si>
  <si>
    <t>都 N</t>
  </si>
  <si>
    <t>dōu N</t>
  </si>
  <si>
    <t>both Ns</t>
  </si>
  <si>
    <t>我们都是中国人。</t>
  </si>
  <si>
    <t>We both are Chinese.</t>
  </si>
  <si>
    <t>https://chinesezerotohero.teachable.com/courses/188342/lectures/2863662</t>
  </si>
  <si>
    <t>1.15.1</t>
  </si>
  <si>
    <t>S 是 MANNER V 的</t>
  </si>
  <si>
    <t>S shì MANNER V de</t>
  </si>
  <si>
    <t>it is MANNER that S V</t>
  </si>
  <si>
    <t>我们是开车来的。</t>
  </si>
  <si>
    <t>We drove here. (Lit. It is [by] driving that we came here.)</t>
  </si>
  <si>
    <t>https://chinesezerotohero.teachable.com/courses/188342/lectures/2863664</t>
  </si>
  <si>
    <t>1.15.2</t>
  </si>
  <si>
    <t>年</t>
  </si>
  <si>
    <t>nián</t>
  </si>
  <si>
    <t>year</t>
  </si>
  <si>
    <t>二零一七年</t>
  </si>
  <si>
    <t>Year 2017</t>
  </si>
  <si>
    <t>https://chinesezerotohero.teachable.com/courses/188342/lectures/2863666</t>
  </si>
  <si>
    <t>2.01.1</t>
  </si>
  <si>
    <t>要</t>
  </si>
  <si>
    <t>yào</t>
  </si>
  <si>
    <t>want to, will</t>
  </si>
  <si>
    <t>王芳要学英语。</t>
  </si>
  <si>
    <t>Wang Fang wants to / will learn English.</t>
  </si>
  <si>
    <t>https://chinesezerotohero.teachable.com/courses/191818/lectures/2949023</t>
  </si>
  <si>
    <t>2.01.2</t>
  </si>
  <si>
    <t>最</t>
  </si>
  <si>
    <t>zuì</t>
  </si>
  <si>
    <t>the most</t>
  </si>
  <si>
    <t>它的眼睛最漂亮。</t>
  </si>
  <si>
    <t>Its eyes are the prettiest.</t>
  </si>
  <si>
    <t>https://chinesezerotohero.teachable.com/courses/191818/lectures/2949025</t>
  </si>
  <si>
    <t>2.01.3</t>
  </si>
  <si>
    <t>几</t>
  </si>
  <si>
    <t>jǐ</t>
  </si>
  <si>
    <t>several</t>
  </si>
  <si>
    <t>几本书</t>
  </si>
  <si>
    <t>several books</t>
  </si>
  <si>
    <t>https://chinesezerotohero.teachable.com/courses/191818/lectures/2949022</t>
  </si>
  <si>
    <t>十几</t>
  </si>
  <si>
    <t>shíjǐ</t>
  </si>
  <si>
    <t>(any # from 11 to 19)</t>
  </si>
  <si>
    <t>十几本书</t>
  </si>
  <si>
    <t>a dozen or more books</t>
  </si>
  <si>
    <t>几十</t>
  </si>
  <si>
    <t>jǐ shí</t>
  </si>
  <si>
    <t>tens of</t>
  </si>
  <si>
    <t>几十本书</t>
  </si>
  <si>
    <t>tens of people</t>
  </si>
  <si>
    <t># 几/多</t>
  </si>
  <si>
    <t># jǐ/ duō</t>
  </si>
  <si>
    <t>over #</t>
  </si>
  <si>
    <t>二十几本书/二十多本书</t>
  </si>
  <si>
    <t>twenty something books</t>
  </si>
  <si>
    <t># M 多 月/星期</t>
  </si>
  <si>
    <t># M duō yuè/ xīngqī</t>
  </si>
  <si>
    <t>over # of months/weeks</t>
  </si>
  <si>
    <t>两个多月，三个多星期</t>
  </si>
  <si>
    <t>over two months, over three weeks</t>
  </si>
  <si>
    <t>2.02.1</t>
  </si>
  <si>
    <t>V不V or A不A</t>
  </si>
  <si>
    <t>V bùV or A bùA</t>
  </si>
  <si>
    <t>(questions)</t>
  </si>
  <si>
    <t>我去商店，你去不去？</t>
  </si>
  <si>
    <t>I’m going to the shop, are you going?</t>
  </si>
  <si>
    <t>是不是……？</t>
  </si>
  <si>
    <t>shìbùshì……？</t>
  </si>
  <si>
    <t>Is it true that…?</t>
  </si>
  <si>
    <t>你是不是喜欢运动？</t>
  </si>
  <si>
    <t>Is it true that you like to exercise?</t>
  </si>
  <si>
    <t>https://chinesezerotohero.teachable.com/courses/191818/lectures/2949020</t>
  </si>
  <si>
    <t>2.02.2</t>
  </si>
  <si>
    <t>每 M N (都) V</t>
  </si>
  <si>
    <t>měi M N ( dōu) V</t>
  </si>
  <si>
    <t>every N V</t>
  </si>
  <si>
    <t>你每个星期六(都)工作吗？</t>
  </si>
  <si>
    <t>Do you work every Saturday (without exception)?</t>
  </si>
  <si>
    <t>https://chinesezerotohero.teachable.com/courses/191818/lectures/2949026</t>
  </si>
  <si>
    <t>2.02.3</t>
  </si>
  <si>
    <t>多 A</t>
  </si>
  <si>
    <t>duō A</t>
  </si>
  <si>
    <t>how A</t>
  </si>
  <si>
    <t>他多高？</t>
  </si>
  <si>
    <t>How tall is he?</t>
  </si>
  <si>
    <t>https://chinesezerotohero.teachable.com/courses/191818/lectures/2949027</t>
  </si>
  <si>
    <t>2.03.1</t>
  </si>
  <si>
    <t>的 (N)</t>
  </si>
  <si>
    <t>de (N)</t>
  </si>
  <si>
    <t>(omitting nouns after 的)</t>
  </si>
  <si>
    <t>这个杯子是昨天买的(杯子)。</t>
  </si>
  <si>
    <t>This cup is the one (cup) that was bought yesterday.</t>
  </si>
  <si>
    <t>https://chinesezerotohero.teachable.com/courses/191818/lectures/2949031</t>
  </si>
  <si>
    <t>2.03.2</t>
  </si>
  <si>
    <t>一下</t>
  </si>
  <si>
    <t>yīxià</t>
  </si>
  <si>
    <t>once (quickly/easily)</t>
  </si>
  <si>
    <t>你去给老师送一下报纸。</t>
  </si>
  <si>
    <t>Go and deliver the newspaper to your teacher.</t>
  </si>
  <si>
    <t>https://chinesezerotohero.teachable.com/courses/191818/lectures/2949030</t>
  </si>
  <si>
    <t>2.03.3</t>
  </si>
  <si>
    <t>真</t>
  </si>
  <si>
    <t>zhēn</t>
  </si>
  <si>
    <t>very, truly</t>
  </si>
  <si>
    <t>牛奶真好喝啊！</t>
  </si>
  <si>
    <t>The milk is so tasty!</t>
  </si>
  <si>
    <t>https://chinesezerotohero.teachable.com/courses/191818/lectures/2949033</t>
  </si>
  <si>
    <t>2.04.1</t>
  </si>
  <si>
    <t>O 是 S V 的</t>
  </si>
  <si>
    <t>O shì S V de</t>
  </si>
  <si>
    <t>it’s S who V’ed O</t>
  </si>
  <si>
    <t>这本书是我买的。</t>
  </si>
  <si>
    <t>(It’s) I (who) bought the book.</t>
  </si>
  <si>
    <t>https://chinesezerotohero.teachable.com/courses/191818/lectures/2949035</t>
  </si>
  <si>
    <t>2.04.2</t>
  </si>
  <si>
    <t>……的时候</t>
  </si>
  <si>
    <t>…… de shíhou</t>
  </si>
  <si>
    <t>the time when …</t>
  </si>
  <si>
    <t>我18岁的时候来过北京。</t>
  </si>
  <si>
    <t>I’ve come to Beijing when I was 18.</t>
  </si>
  <si>
    <t>https://chinesezerotohero.teachable.com/courses/191818/lectures/2949037</t>
  </si>
  <si>
    <t>2.04.3</t>
  </si>
  <si>
    <t>已经 V/A 了</t>
  </si>
  <si>
    <t>yǐjīng V/A le</t>
  </si>
  <si>
    <t>already V/A</t>
  </si>
  <si>
    <t>我已经工作两年多了。</t>
  </si>
  <si>
    <t>I already worked for over two years.</t>
  </si>
  <si>
    <t>https://chinesezerotohero.teachable.com/courses/191818/lectures/2949036</t>
  </si>
  <si>
    <t>2.05.1</t>
  </si>
  <si>
    <t>就</t>
  </si>
  <si>
    <t>jiù</t>
  </si>
  <si>
    <t>just V then</t>
  </si>
  <si>
    <t>你不想去，就在家休息吧。</t>
  </si>
  <si>
    <t>If you don't want to go, just rest at home then.</t>
  </si>
  <si>
    <t>https://chinesezerotohero.teachable.com/courses/191818/lectures/2949040</t>
  </si>
  <si>
    <t>2.05.2</t>
  </si>
  <si>
    <t>还 A</t>
  </si>
  <si>
    <t>hái A</t>
  </si>
  <si>
    <t>somewhat A</t>
  </si>
  <si>
    <t>昨天的考试还好。</t>
  </si>
  <si>
    <t>Yesterday’s test was so-so (lit. somewhat OK).</t>
  </si>
  <si>
    <t>https://chinesezerotohero.teachable.com/courses/191818/lectures/2949041</t>
  </si>
  <si>
    <t>2.05.3</t>
  </si>
  <si>
    <t>有点儿 A</t>
  </si>
  <si>
    <t>yǒudiǎnr A</t>
  </si>
  <si>
    <t>a bit A</t>
  </si>
  <si>
    <t>今天天气有点儿冷。</t>
  </si>
  <si>
    <t>It's a bit cold today.</t>
  </si>
  <si>
    <t>https://chinesezerotohero.teachable.com/courses/191818/lectures/2949042</t>
  </si>
  <si>
    <t>2.06.1</t>
  </si>
  <si>
    <t>怎么</t>
  </si>
  <si>
    <t>zěnme</t>
  </si>
  <si>
    <t>how come</t>
  </si>
  <si>
    <t>你怎么不高兴?</t>
  </si>
  <si>
    <t>How come you’re unhappy?</t>
  </si>
  <si>
    <t>https://chinesezerotohero.teachable.com/courses/191818/lectures/2949048</t>
  </si>
  <si>
    <t>2.06.2</t>
  </si>
  <si>
    <t>N M M 都</t>
  </si>
  <si>
    <t>N M M dōu</t>
  </si>
  <si>
    <t>every N</t>
  </si>
  <si>
    <t>同学个个都很高兴。</t>
  </si>
  <si>
    <t>Every student is very happy.</t>
  </si>
  <si>
    <t>https://chinesezerotohero.teachable.com/courses/191818/lectures/2949045</t>
  </si>
  <si>
    <t>2.06.3</t>
  </si>
  <si>
    <t>因为……所以……</t>
  </si>
  <si>
    <t>yīnwèi…… suǒyǐ……</t>
  </si>
  <si>
    <t>because… so…</t>
  </si>
  <si>
    <t>因为不好吃，所以我不吃。</t>
  </si>
  <si>
    <t>Because it’s not tasty, so I won’t eat it.</t>
  </si>
  <si>
    <t>https://chinesezerotohero.teachable.com/courses/191818/lectures/2949046</t>
  </si>
  <si>
    <t>2.07.1</t>
  </si>
  <si>
    <t>还 V</t>
  </si>
  <si>
    <t>hái V</t>
  </si>
  <si>
    <t>still V-ing</t>
  </si>
  <si>
    <t>八点了，他还在睡觉。</t>
  </si>
  <si>
    <t>It’s 8, he’s still sleeping.</t>
  </si>
  <si>
    <t>https://chinesezerotohero.teachable.com/courses/191818/lectures/2949051</t>
  </si>
  <si>
    <t>还没 V</t>
  </si>
  <si>
    <t>hái méi V</t>
  </si>
  <si>
    <t>still haven’t V’ed</t>
  </si>
  <si>
    <t>你怎么还没吃饭？</t>
  </si>
  <si>
    <t>How come you still haven’t eaten?</t>
  </si>
  <si>
    <t>2.07.2</t>
  </si>
  <si>
    <t>TIME 就 V</t>
  </si>
  <si>
    <t>TIME jiù V</t>
  </si>
  <si>
    <t>V as early as TIME</t>
  </si>
  <si>
    <t>同学们七点半就来教室了。</t>
  </si>
  <si>
    <t>The students got to the classroom as early as 7:30.</t>
  </si>
  <si>
    <t>https://chinesezerotohero.teachable.com/courses/191818/lectures/2949052</t>
  </si>
  <si>
    <t>2.07.3</t>
  </si>
  <si>
    <t>N1 离 N2 DISTANCE</t>
  </si>
  <si>
    <t>N1 lí N2 DISTANCE</t>
  </si>
  <si>
    <t>N1 is DISTANCE away from N2</t>
  </si>
  <si>
    <t>学校离机场20多公里。</t>
  </si>
  <si>
    <t>The school is over 20 km away from the airport.</t>
  </si>
  <si>
    <t>https://chinesezerotohero.teachable.com/courses/191818/lectures/2949050</t>
  </si>
  <si>
    <t>2.07.4</t>
  </si>
  <si>
    <t>……呢!</t>
  </si>
  <si>
    <t>…… ne!</t>
  </si>
  <si>
    <t>(adding emphasis)</t>
  </si>
  <si>
    <t>他还在学习呢！</t>
  </si>
  <si>
    <t>He is still studying!</t>
  </si>
  <si>
    <t>https://chinesezerotohero.teachable.com/courses/191818/lectures/2949053</t>
  </si>
  <si>
    <t>2.08.1</t>
  </si>
  <si>
    <t>……好吗?</t>
  </si>
  <si>
    <t>…… hǎo ma?</t>
  </si>
  <si>
    <t>…okay?</t>
  </si>
  <si>
    <t>你明天下午给我打电话好吗？</t>
  </si>
  <si>
    <t>Call me tomorrow afternoon, okay?</t>
  </si>
  <si>
    <t>https://chinesezerotohero.teachable.com/courses/191818/lectures/2949057</t>
  </si>
  <si>
    <t>2.08.2</t>
  </si>
  <si>
    <t>再 V</t>
  </si>
  <si>
    <t>zài V</t>
  </si>
  <si>
    <t>again</t>
  </si>
  <si>
    <t>你再看一下这本书吧。</t>
  </si>
  <si>
    <t>Take another look at this book.</t>
  </si>
  <si>
    <t>https://chinesezerotohero.teachable.com/courses/191818/lectures/2949056</t>
  </si>
  <si>
    <t>then</t>
  </si>
  <si>
    <t>让我想想再告诉你。</t>
  </si>
  <si>
    <t>Let me think about it, then I’ll let you know.</t>
  </si>
  <si>
    <t>TIME 再 V</t>
  </si>
  <si>
    <t>TIME zài V</t>
  </si>
  <si>
    <t>V only until TIME</t>
  </si>
  <si>
    <t>我明天再去。</t>
  </si>
  <si>
    <t>I’ll go (only until) tomorrow.</t>
  </si>
  <si>
    <t>2.08.3</t>
  </si>
  <si>
    <t>请/让/叫 O V</t>
  </si>
  <si>
    <t>qǐng/ ràng/ jiào O V</t>
  </si>
  <si>
    <t>invite/let/ask O to V</t>
  </si>
  <si>
    <t>我请你吃饭。</t>
  </si>
  <si>
    <t>I’m inviting you to have a meal.</t>
  </si>
  <si>
    <t>https://chinesezerotohero.teachable.com/courses/191818/lectures/2949058</t>
  </si>
  <si>
    <t>2.08.4</t>
  </si>
  <si>
    <t>V V</t>
  </si>
  <si>
    <t>V for a bit</t>
  </si>
  <si>
    <t>你看看这几件衣服。</t>
  </si>
  <si>
    <t>Take a look at these clothes.</t>
  </si>
  <si>
    <t>https://chinesezerotohero.teachable.com/courses/191818/lectures/2949059</t>
  </si>
  <si>
    <t>V一V</t>
  </si>
  <si>
    <t>V yīV</t>
  </si>
  <si>
    <t>你看一看这几件衣服。</t>
  </si>
  <si>
    <t>2.09.1</t>
  </si>
  <si>
    <t>V result</t>
  </si>
  <si>
    <t>(result complements)</t>
  </si>
  <si>
    <t>我看到你的女朋友了。</t>
  </si>
  <si>
    <t>I saw your girlfriend.</t>
  </si>
  <si>
    <t>https://chinesezerotohero.teachable.com/courses/191830/lectures/2949092</t>
  </si>
  <si>
    <t>没 V result</t>
  </si>
  <si>
    <t>méi V result</t>
  </si>
  <si>
    <t>我没看到你的女朋友。</t>
  </si>
  <si>
    <t>I didn’t see your girlfriend.</t>
  </si>
  <si>
    <t>2.09.2</t>
  </si>
  <si>
    <t>从 N1 到 N2</t>
  </si>
  <si>
    <t>cóng N1 dào N2</t>
  </si>
  <si>
    <t>from N1 to N2</t>
  </si>
  <si>
    <t>从老人到孩子都喜欢吃苹果。</t>
  </si>
  <si>
    <t>From old to young, all like to eat apples.</t>
  </si>
  <si>
    <t>https://chinesezerotohero.teachable.com/courses/191830/lectures/2949088</t>
  </si>
  <si>
    <t>2.09.3</t>
  </si>
  <si>
    <t>第 # M N</t>
  </si>
  <si>
    <t>dì # M N</t>
  </si>
  <si>
    <t>#-th N</t>
  </si>
  <si>
    <t>第四件事情还没做。</t>
  </si>
  <si>
    <t>We haven't done the fourth thing yet.</t>
  </si>
  <si>
    <t>https://chinesezerotohero.teachable.com/courses/191830/lectures/2949090</t>
  </si>
  <si>
    <t>2.10.1</t>
  </si>
  <si>
    <t>不要/别 V</t>
  </si>
  <si>
    <t>bùyào/ bié V</t>
  </si>
  <si>
    <t>don’t do V</t>
  </si>
  <si>
    <t>不要/别玩儿手机！</t>
  </si>
  <si>
    <t>Don’t play with your phone!</t>
  </si>
  <si>
    <t>https://chinesezerotohero.teachable.com/courses/191830/lectures/2949093</t>
  </si>
  <si>
    <t>不要/别 V 了</t>
  </si>
  <si>
    <t>bùyào/ bié V le</t>
  </si>
  <si>
    <t>stop doing V</t>
  </si>
  <si>
    <t>不要/别玩儿手机了！</t>
  </si>
  <si>
    <t>Stop playing with your phone!</t>
  </si>
  <si>
    <t>2.10.2</t>
  </si>
  <si>
    <t>对 N A</t>
  </si>
  <si>
    <t>duì N A</t>
  </si>
  <si>
    <t>Is A for N</t>
  </si>
  <si>
    <t>学汉语对在中国工作有帮助。</t>
  </si>
  <si>
    <t>Learning Chinese is helpful for working in China.</t>
  </si>
  <si>
    <t>https://chinesezerotohero.teachable.com/courses/191830/lectures/2949094</t>
  </si>
  <si>
    <t>2.11.1</t>
  </si>
  <si>
    <t>S V 的 N</t>
  </si>
  <si>
    <t>S V de N</t>
  </si>
  <si>
    <t>the N which S V’ed</t>
  </si>
  <si>
    <t>我妈妈做的饭非常好吃。</t>
  </si>
  <si>
    <t>The food that mom makes is very delicious.</t>
  </si>
  <si>
    <t>https://chinesezerotohero.teachable.com/courses/191830/lectures/2949099</t>
  </si>
  <si>
    <t>2.11.2</t>
  </si>
  <si>
    <t>N1 比 N2 A</t>
  </si>
  <si>
    <t>N1 bǐ N2 A</t>
  </si>
  <si>
    <t>N2 is more A than N1</t>
  </si>
  <si>
    <t>哥哥比姐姐高。</t>
  </si>
  <si>
    <t>My (older) brother is taller than my (older) sister.</t>
  </si>
  <si>
    <t>https://chinesezerotohero.teachable.com/courses/191830/lectures/2949098</t>
  </si>
  <si>
    <t>N1 没有 N2 A</t>
  </si>
  <si>
    <t>N1 méiyǒu N2 A</t>
  </si>
  <si>
    <t>N2 is not as A than N1</t>
  </si>
  <si>
    <t>哥哥没有姐姐高。</t>
  </si>
  <si>
    <t>My (older) brother is not as tall as my (older) sister.</t>
  </si>
  <si>
    <t>2.11.3</t>
  </si>
  <si>
    <t>可能</t>
  </si>
  <si>
    <t>kěnéng</t>
  </si>
  <si>
    <t>probably</t>
  </si>
  <si>
    <t>她可能不会唱歌。</t>
  </si>
  <si>
    <t>Maybe she cannot sing.</t>
  </si>
  <si>
    <t>https://chinesezerotohero.teachable.com/courses/191830/lectures/2949097</t>
  </si>
  <si>
    <t>2.12.1</t>
  </si>
  <si>
    <t>V 得 A</t>
  </si>
  <si>
    <t>V dé A</t>
  </si>
  <si>
    <t>(using adverbs)</t>
  </si>
  <si>
    <t>我跑得很快。</t>
  </si>
  <si>
    <t>I run very quickly.</t>
  </si>
  <si>
    <t>https://chinesezerotohero.teachable.com/courses/191830/lectures/2949102</t>
  </si>
  <si>
    <t>V O V 得 A</t>
  </si>
  <si>
    <t>V O V dé A</t>
  </si>
  <si>
    <t>姐姐唱歌唱得很好。</t>
  </si>
  <si>
    <t>My (older) sister sings brilliantly.</t>
  </si>
  <si>
    <t>2.12.2</t>
  </si>
  <si>
    <t>V (O V) 得 比 N A</t>
  </si>
  <si>
    <t>V (O V) dé bǐ N A</t>
  </si>
  <si>
    <t>V (O) more A than N</t>
  </si>
  <si>
    <t>他学(汉语学)得比我快。</t>
  </si>
  <si>
    <t>He learns (Chinese) more quickly than I do.</t>
  </si>
  <si>
    <t>https://chinesezerotohero.teachable.com/courses/191830/lectures/2949103</t>
  </si>
  <si>
    <t>比 N V (O V) 得 A</t>
  </si>
  <si>
    <t>bǐ N V (O V) dé A</t>
  </si>
  <si>
    <t>他比我学(汉语学)得快。</t>
  </si>
  <si>
    <t>2.13.1</t>
  </si>
  <si>
    <t>V 着 O</t>
  </si>
  <si>
    <t>V zhe O</t>
  </si>
  <si>
    <t>V-ing O</t>
  </si>
  <si>
    <t>他们穿着西服。</t>
  </si>
  <si>
    <t>They are wearing suites.</t>
  </si>
  <si>
    <t>https://chinesezerotohero.teachable.com/courses/191830/lectures/2949107</t>
  </si>
  <si>
    <t>没 V 着 O</t>
  </si>
  <si>
    <t>méi V zhe O</t>
  </si>
  <si>
    <t>not V-ing O</t>
  </si>
  <si>
    <t>他没拿着铅笔。</t>
  </si>
  <si>
    <t>He’s not holding a pencil.</t>
  </si>
  <si>
    <t>2.13.2</t>
  </si>
  <si>
    <t>N 不是……吗？</t>
  </si>
  <si>
    <t>N bùshì…… ma？</t>
  </si>
  <si>
    <t>is N not…</t>
  </si>
  <si>
    <t>你不是北京人吗？</t>
  </si>
  <si>
    <t>Aren’t you a Beijinger?</t>
  </si>
  <si>
    <t>https://chinesezerotohero.teachable.com/courses/191830/lectures/2949108</t>
  </si>
  <si>
    <t>2.13.3</t>
  </si>
  <si>
    <t>往 DIRECTION V</t>
  </si>
  <si>
    <t>wǎng DIRECTION V</t>
  </si>
  <si>
    <t>V toward DIRECTION</t>
  </si>
  <si>
    <t>从这儿一直往东走。</t>
  </si>
  <si>
    <t>Walk straight toward the east from here.</t>
  </si>
  <si>
    <t>https://chinesezerotohero.teachable.com/courses/191830/lectures/2949106</t>
  </si>
  <si>
    <t>2.14.1</t>
  </si>
  <si>
    <t>V 过</t>
  </si>
  <si>
    <t>V guò</t>
  </si>
  <si>
    <t>V’ed before</t>
  </si>
  <si>
    <t>我去过中国。</t>
  </si>
  <si>
    <t>I've been to China.</t>
  </si>
  <si>
    <t>https://chinesezerotohero.teachable.com/courses/191830/lectures/2949111</t>
  </si>
  <si>
    <t>没有 V 过</t>
  </si>
  <si>
    <t>méiyǒu V guò</t>
  </si>
  <si>
    <t>haven’t V’ed</t>
  </si>
  <si>
    <t>他们没有来过我家。</t>
  </si>
  <si>
    <t>They have never been to my place.</t>
  </si>
  <si>
    <t>2.14.2</t>
  </si>
  <si>
    <t>虽然……但是</t>
  </si>
  <si>
    <t>suīrán…… dànshì</t>
  </si>
  <si>
    <t>although…</t>
  </si>
  <si>
    <t>虽然是晴天，但是还是很冷。</t>
  </si>
  <si>
    <t>Even though it's sunny, it's still cold.</t>
  </si>
  <si>
    <t>https://chinesezerotohero.teachable.com/courses/191830/lectures/2949113</t>
  </si>
  <si>
    <t>2.14.3</t>
  </si>
  <si>
    <t>V 过 # 次 O</t>
  </si>
  <si>
    <t>V guò # cì O</t>
  </si>
  <si>
    <t>V’ed O # times</t>
  </si>
  <si>
    <t>他们坐过三次飞机。</t>
  </si>
  <si>
    <t>They have taken a plane three times.</t>
  </si>
  <si>
    <t>https://chinesezerotohero.teachable.com/courses/191830/lectures/2949112</t>
  </si>
  <si>
    <t>V 过 PLACE # 次</t>
  </si>
  <si>
    <t>V guò PLACE # cì</t>
  </si>
  <si>
    <t>V’ed to PLACE # times</t>
  </si>
  <si>
    <t>我们来过三次中国。</t>
  </si>
  <si>
    <t>We have been to China three times.</t>
  </si>
  <si>
    <t>2.15.1</t>
  </si>
  <si>
    <t>TIME (就) 要 V 了</t>
  </si>
  <si>
    <t>TIME ( jiù) yào V le</t>
  </si>
  <si>
    <t>about to V in TIME</t>
  </si>
  <si>
    <t>下个星期我们(就)要考试了。</t>
  </si>
  <si>
    <t>We are about to have an exam in just a week.</t>
  </si>
  <si>
    <t>https://chinesezerotohero.teachable.com/courses/191830/lectures/2949117</t>
  </si>
  <si>
    <t>2.15.2</t>
  </si>
  <si>
    <t>都 TIME/A/V 了</t>
  </si>
  <si>
    <t>dōu TIME/A/V le</t>
  </si>
  <si>
    <t>It’s already TIME, is already A, has already V’ed</t>
  </si>
  <si>
    <t>都8点了，快点儿起床吧。</t>
  </si>
  <si>
    <t>It’s already 8, get up quick!</t>
  </si>
  <si>
    <t>https://chinesezerotohero.teachable.com/courses/191830/lectures/2949116</t>
  </si>
  <si>
    <t>3.01.1</t>
  </si>
  <si>
    <t>V 好</t>
  </si>
  <si>
    <t>V hǎo</t>
  </si>
  <si>
    <t>done V-ing</t>
  </si>
  <si>
    <t>饭还没做好，请你等一会儿。</t>
  </si>
  <si>
    <t>The food is not cooked yet, please wait awhile.</t>
  </si>
  <si>
    <t>https://chinesezerotohero.teachable.com/courses/182498/lectures/2763802</t>
  </si>
  <si>
    <t>3.01.2</t>
  </si>
  <si>
    <t>一 + M + N + 也／都 + 不 + V</t>
  </si>
  <si>
    <t>yī + M + N + yě／ dōu + bù + V</t>
  </si>
  <si>
    <t>not V even one N</t>
  </si>
  <si>
    <t>我一个苹果也不吃。</t>
  </si>
  <si>
    <t>I’m not eating any apples. (Lit. I don’t eat even one apple.)</t>
  </si>
  <si>
    <t>https://chinesezerotohero.teachable.com/courses/182498/lectures/2763808</t>
  </si>
  <si>
    <t>3.01.3</t>
  </si>
  <si>
    <t>那</t>
  </si>
  <si>
    <t>nà</t>
  </si>
  <si>
    <t>so then</t>
  </si>
  <si>
    <t>你不去，那我也不去了。</t>
  </si>
  <si>
    <t>[If] you don’t go, then I won’t go either.</t>
  </si>
  <si>
    <t>https://chinesezerotohero.teachable.com/courses/182498/lectures/2763809</t>
  </si>
  <si>
    <t>那也</t>
  </si>
  <si>
    <t>nà yě</t>
  </si>
  <si>
    <t>but still</t>
  </si>
  <si>
    <t>A: 我早就复习好了。B: 那也不能一直玩儿啊。</t>
  </si>
  <si>
    <t>A: I’ve done my reviewed a long time ago already.
B: But still [you] shouldn’t be playing all the time.</t>
  </si>
  <si>
    <t>3.02.1</t>
  </si>
  <si>
    <t>V1了就 V2</t>
  </si>
  <si>
    <t>V1 le jiù V2</t>
  </si>
  <si>
    <t>V2 as soon as V1</t>
  </si>
  <si>
    <t>爸爸回来了我们就吃饭。</t>
  </si>
  <si>
    <t>We’ll eat when dad comes back.</t>
  </si>
  <si>
    <t>https://chinesezerotohero.teachable.com/courses/182498/lectures/2763990</t>
  </si>
  <si>
    <t>3.02.2</t>
  </si>
  <si>
    <t>V 来／去</t>
  </si>
  <si>
    <t>V lái／ qù</t>
  </si>
  <si>
    <t>(complements of direction)</t>
  </si>
  <si>
    <t>我们在楼上等你呢，你上来吧。</t>
  </si>
  <si>
    <t>We are upstairs waiting, please come up.</t>
  </si>
  <si>
    <t>https://chinesezerotohero.teachable.com/courses/182498/lectures/2763993</t>
  </si>
  <si>
    <t>V somewhere 来／去</t>
  </si>
  <si>
    <t>V somewhere lái／ qù</t>
  </si>
  <si>
    <t>朋友回家去了。</t>
  </si>
  <si>
    <t>[My] friend went back home.</t>
  </si>
  <si>
    <t>V O 来／去</t>
  </si>
  <si>
    <t>V O lái／ qù</t>
  </si>
  <si>
    <t>明天要带作业来。</t>
  </si>
  <si>
    <t>You need to bring [your] homework tomorrow.</t>
  </si>
  <si>
    <t>V 来／去 O</t>
  </si>
  <si>
    <t>V lái／ qù O</t>
  </si>
  <si>
    <t>明天要带来作业。</t>
  </si>
  <si>
    <t>Bring [your] homework tomorrow.</t>
  </si>
  <si>
    <t>3.02.3</t>
  </si>
  <si>
    <t>能……吗？</t>
  </si>
  <si>
    <t>néng…… ma？</t>
  </si>
  <si>
    <t>how can you…?</t>
  </si>
  <si>
    <t>你不做作业，也不练习，能学好汉语吗？</t>
  </si>
  <si>
    <t>You don't do [your] homework, don't practice, how can you [possibly] learn Chinese well?</t>
  </si>
  <si>
    <t>https://chinesezerotohero.teachable.com/courses/182498/lectures/2763994</t>
  </si>
  <si>
    <t>3.03.1</t>
  </si>
  <si>
    <t>N1 还是 N2 ?</t>
  </si>
  <si>
    <t>N1 háishi N2 ?</t>
  </si>
  <si>
    <t>N1 or N2 ?</t>
  </si>
  <si>
    <t>你要喝咖啡还是喝茶？</t>
  </si>
  <si>
    <t>Do you want coffee or tea?</t>
  </si>
  <si>
    <t>https://chinesezerotohero.teachable.com/courses/182498/lectures/2764004</t>
  </si>
  <si>
    <t>N1 或者 N2</t>
  </si>
  <si>
    <t>N1 huòzhě N2</t>
  </si>
  <si>
    <t>either N1 or N21</t>
  </si>
  <si>
    <t>天冷了或者工作累了的时候，喝杯热茶很舒服。</t>
  </si>
  <si>
    <t>When the weather is cold or when you’re tired from work, it is very comfortable to drink a cup of hot tea.</t>
  </si>
  <si>
    <t>N1 还是 N2</t>
  </si>
  <si>
    <t>N1 háishi N2</t>
  </si>
  <si>
    <t>N1 or N2 (in question-like clauses)</t>
  </si>
  <si>
    <t>我还没想好去爬山还是去看电影。</t>
  </si>
  <si>
    <t>I haven't decided whether to go hiking or to go to the movies.</t>
  </si>
  <si>
    <t>3.03.2</t>
  </si>
  <si>
    <t>PLACE + V + 着 + N</t>
  </si>
  <si>
    <t>PLACE + V + zhe + N</t>
  </si>
  <si>
    <t>There is N V’ed in PLACE.</t>
  </si>
  <si>
    <t>桌子上放着一杯咖啡。</t>
  </si>
  <si>
    <t>There is a cup of coffee placed on the table.</t>
  </si>
  <si>
    <t>https://chinesezerotohero.teachable.com/courses/182498/lectures/2764006</t>
  </si>
  <si>
    <t>PLACE + 没 + V + 着 + N</t>
  </si>
  <si>
    <t>PLACE + méi + V + zhe + N</t>
  </si>
  <si>
    <t>There is not N V’ed in PLACE.</t>
  </si>
  <si>
    <t>桌子上没放着咖啡。</t>
  </si>
  <si>
    <t>There was no coffee placed on the table.</t>
  </si>
  <si>
    <t>3.03.3</t>
  </si>
  <si>
    <t>会 + V / A + (的）</t>
  </si>
  <si>
    <t>huì + V / A + ( de）</t>
  </si>
  <si>
    <t>will V, will be A</t>
  </si>
  <si>
    <t>你穿得那么少，会感冒的。</t>
  </si>
  <si>
    <t>You wear so little, you will catch a cold.</t>
  </si>
  <si>
    <t>https://chinesezerotohero.teachable.com/courses/182498/lectures/2764008</t>
  </si>
  <si>
    <t>3.04.1</t>
  </si>
  <si>
    <t>又……又……</t>
  </si>
  <si>
    <t>yòu…… yòu……</t>
  </si>
  <si>
    <t>not only… but also…</t>
  </si>
  <si>
    <t>这个西瓜又大又甜。</t>
  </si>
  <si>
    <t>This watermelon is big and sweet.</t>
  </si>
  <si>
    <t>https://chinesezerotohero.teachable.com/courses/182498/lectures/2764056</t>
  </si>
  <si>
    <t>3.04.2</t>
  </si>
  <si>
    <t>V1 + 着 + V2</t>
  </si>
  <si>
    <t>V1 + zhe + V2</t>
  </si>
  <si>
    <t>V1-ing while V2-ing</t>
  </si>
  <si>
    <t>弟弟吃着苹果写作业。</t>
  </si>
  <si>
    <t>The younger brother is doing homework while eating [an] apple.</t>
  </si>
  <si>
    <t>https://chinesezerotohero.teachable.com/courses/182498/lectures/2764058</t>
  </si>
  <si>
    <t>3.05.1</t>
  </si>
  <si>
    <t>A 了</t>
  </si>
  <si>
    <t>A le</t>
  </si>
  <si>
    <t>become A</t>
  </si>
  <si>
    <t>昨天吃了感冒药，现在好一些了。</t>
  </si>
  <si>
    <t>I took flu medicine yesterday, and I’m better now.</t>
  </si>
  <si>
    <t>https://chinesezerotohero.teachable.com/courses/182498/lectures/2764062</t>
  </si>
  <si>
    <t>V 了</t>
  </si>
  <si>
    <t>V le</t>
  </si>
  <si>
    <t>(didn’t V but) now V</t>
  </si>
  <si>
    <t>现在我可以穿漂亮的裙子了。</t>
  </si>
  <si>
    <t>Now I can wear a beautiful dress.</t>
  </si>
  <si>
    <t>3.05.2</t>
  </si>
  <si>
    <t>越来越 + A + (了)</t>
  </si>
  <si>
    <t>yuèláiyuè + A + ( le)</t>
  </si>
  <si>
    <t>more and more A</t>
  </si>
  <si>
    <t>你最近越来越帅了。</t>
  </si>
  <si>
    <t>You’re more and more handsome these days.</t>
  </si>
  <si>
    <t>https://chinesezerotohero.teachable.com/courses/182498/lectures/2764067</t>
  </si>
  <si>
    <t>3.06.1</t>
  </si>
  <si>
    <t>V + 得 + RESULT</t>
  </si>
  <si>
    <t>V + dé + RESULT</t>
  </si>
  <si>
    <t>can V to RESULT</t>
  </si>
  <si>
    <t>我看得清楚那个汉字。</t>
  </si>
  <si>
    <t>I can see the Chinese character clearly.</t>
  </si>
  <si>
    <t>https://chinesezerotohero.teachable.com/courses/182498/lectures/2764075</t>
  </si>
  <si>
    <t>V + 得 + DIRECTION</t>
  </si>
  <si>
    <t>V + dé + DIRECTION</t>
  </si>
  <si>
    <t>can V to DIRECTION</t>
  </si>
  <si>
    <t>楼这么高，你上得来吗？</t>
  </si>
  <si>
    <t>The building is so high, are you able to come up?</t>
  </si>
  <si>
    <t>V + 不 + result</t>
  </si>
  <si>
    <t>V + bù + result</t>
  </si>
  <si>
    <t>cannot V to RESULT</t>
  </si>
  <si>
    <t>我找不到好饭馆。</t>
  </si>
  <si>
    <t>I can't seek out a good restaurant.</t>
  </si>
  <si>
    <t>V + 不 + direction</t>
  </si>
  <si>
    <t>V + bù + direction</t>
  </si>
  <si>
    <t>cannot V to DIRECTION</t>
  </si>
  <si>
    <t>楼太高了，我上不去。</t>
  </si>
  <si>
    <t>The building is too high, I can't go up.</t>
  </si>
  <si>
    <t>3.06.2</t>
  </si>
  <si>
    <t>where is N?</t>
  </si>
  <si>
    <t>你的书呢？</t>
  </si>
  <si>
    <t>Where is your book?</t>
  </si>
  <si>
    <t>https://chinesezerotohero.teachable.com/courses/182498/lectures/2764079</t>
  </si>
  <si>
    <t>3.06.3</t>
  </si>
  <si>
    <t>刚 V</t>
  </si>
  <si>
    <t>gāng V</t>
  </si>
  <si>
    <t>just V</t>
  </si>
  <si>
    <t>儿子刚做完作业。</t>
  </si>
  <si>
    <t>The son just finished his homework.</t>
  </si>
  <si>
    <t>https://chinesezerotohero.teachable.com/courses/182498/lectures/2764078</t>
  </si>
  <si>
    <t>刚才</t>
  </si>
  <si>
    <t>gāngcái</t>
  </si>
  <si>
    <t>moments ago</t>
  </si>
  <si>
    <t>刚才儿子在做作业。</t>
  </si>
  <si>
    <t>My son is doing homework moments ago.</t>
  </si>
  <si>
    <t>3.07.1</t>
  </si>
  <si>
    <t>V + 了 + DURATION + O</t>
  </si>
  <si>
    <t>V + le + DURATION + O</t>
  </si>
  <si>
    <t>V’ed O for DURATION</t>
  </si>
  <si>
    <t>我们坐了一个小时公共汽车。</t>
  </si>
  <si>
    <t>We took a bus for an hour.</t>
  </si>
  <si>
    <t>https://chinesezerotohero.teachable.com/courses/182498/lectures/2764093</t>
  </si>
  <si>
    <t>V + 了 + DURATION + O + 了</t>
  </si>
  <si>
    <t>V + le + DURATION + O + le</t>
  </si>
  <si>
    <t>have been V-ing O for DURATION</t>
  </si>
  <si>
    <t>我学习了一年汉语了。</t>
  </si>
  <si>
    <t>I have studied Chinese for a year.</t>
  </si>
  <si>
    <t>3.07.2</t>
  </si>
  <si>
    <t>对 N 感兴趣/有兴趣</t>
  </si>
  <si>
    <t>duì N gǎnxìngqù/ yǒuxìngqù</t>
  </si>
  <si>
    <t>interested in N</t>
  </si>
  <si>
    <t>他们对中国电影感兴趣。</t>
  </si>
  <si>
    <t>They are interested in Chinese movies.</t>
  </si>
  <si>
    <t>https://chinesezerotohero.teachable.com/courses/182498/lectures/2764090</t>
  </si>
  <si>
    <t>对 N 没兴趣</t>
  </si>
  <si>
    <t>duì N méi xìngqù</t>
  </si>
  <si>
    <t>not interested in N</t>
  </si>
  <si>
    <t>他们对中国电影没兴趣。</t>
  </si>
  <si>
    <t>They are not interested in Chinese movies.</t>
  </si>
  <si>
    <t>3.07.3</t>
  </si>
  <si>
    <t>半</t>
  </si>
  <si>
    <t>bàn</t>
  </si>
  <si>
    <t>half hour</t>
  </si>
  <si>
    <t>现在七点半。</t>
  </si>
  <si>
    <t>It’s half past seven.</t>
  </si>
  <si>
    <t>https://chinesezerotohero.teachable.com/courses/182498/lectures/2764096</t>
  </si>
  <si>
    <t>一刻</t>
  </si>
  <si>
    <t>yī kè</t>
  </si>
  <si>
    <t>quarter hour (when telling time)</t>
  </si>
  <si>
    <t>现在七点一刻。</t>
  </si>
  <si>
    <t>Now it’s quarter past seven.</t>
  </si>
  <si>
    <t>一刻钟</t>
  </si>
  <si>
    <t>yī kè zhōng</t>
  </si>
  <si>
    <t>quarter hour (duration)</t>
  </si>
  <si>
    <t>你迟到了一刻钟。</t>
  </si>
  <si>
    <t>You are late for 15 minutes.</t>
  </si>
  <si>
    <t>差 (chà)</t>
  </si>
  <si>
    <t>chà (chà)</t>
  </si>
  <si>
    <t>to (when telling time)</t>
  </si>
  <si>
    <t>已经差一刻八点了！</t>
  </si>
  <si>
    <t>It’s already a quarter to eight!</t>
  </si>
  <si>
    <t>3.08.1</t>
  </si>
  <si>
    <t>again (later)</t>
  </si>
  <si>
    <t>我明天还要再去看看。</t>
  </si>
  <si>
    <t>I will go see it again tomorrow.</t>
  </si>
  <si>
    <t>https://chinesezerotohero.teachable.com/courses/182498/lectures/2764099</t>
  </si>
  <si>
    <t>又 V</t>
  </si>
  <si>
    <t>yòu V</t>
  </si>
  <si>
    <t>(did) again</t>
  </si>
  <si>
    <t>你今天怎么又迟到了?</t>
  </si>
  <si>
    <t>Why are you late again today?</t>
  </si>
  <si>
    <t>3.08.2</t>
  </si>
  <si>
    <t>S + Q1 + 就 + Q2</t>
  </si>
  <si>
    <t>S + Q1 + jiù + Q2</t>
  </si>
  <si>
    <t>(S acts in a way so that the answer to Q1 is the same as the answer to Q2.)</t>
  </si>
  <si>
    <t>我想喝什么就喝什么。</t>
  </si>
  <si>
    <t>I drink whatever I want to drink.</t>
  </si>
  <si>
    <t>https://chinesezerotohero.teachable.com/courses/182498/lectures/2764104</t>
  </si>
  <si>
    <t>S1 + Q + S2 + 就 + Q</t>
  </si>
  <si>
    <t>S1 + Q + S2 + jiù + Q</t>
  </si>
  <si>
    <t>(S2 acts in a way that the answer to Q is true for both S1 and S2.)</t>
  </si>
  <si>
    <t>你喝什么我就喝什么。</t>
  </si>
  <si>
    <t>I drink whatever you drink.</t>
  </si>
  <si>
    <t>3.09.1</t>
  </si>
  <si>
    <t>越 V1/A1 越 V2/A2</t>
  </si>
  <si>
    <t>yuè V1/A1 yuè V2/A2</t>
  </si>
  <si>
    <t>the more V1/A1 the more V2/A2</t>
  </si>
  <si>
    <t>我们越聊越开心。</t>
  </si>
  <si>
    <t>The more we chat, the more joyous we are.</t>
  </si>
  <si>
    <t>https://chinesezerotohero.teachable.com/courses/182498/lectures/2764111</t>
  </si>
  <si>
    <t>3.09.2</t>
  </si>
  <si>
    <t>N1 跟 N2 一样</t>
  </si>
  <si>
    <t>N1 gēn N2 yīyàng</t>
  </si>
  <si>
    <t>N1 is like N2</t>
  </si>
  <si>
    <t>你的眼睛跟大熊猫一样。</t>
  </si>
  <si>
    <t>Your eyes are like pandas’ [eyes].</t>
  </si>
  <si>
    <t>https://chinesezerotohero.teachable.com/courses/182498/lectures/2764113</t>
  </si>
  <si>
    <t>N1 跟 N2 一样 A</t>
  </si>
  <si>
    <t>N1 gēn N2 yīyàng A</t>
  </si>
  <si>
    <t>N1 is as A as N2</t>
  </si>
  <si>
    <t>儿子跟爸爸一样高。</t>
  </si>
  <si>
    <t>The son is as tall as his father.</t>
  </si>
  <si>
    <t>3.10.1</t>
  </si>
  <si>
    <t>没有 N (这么/那么) A</t>
  </si>
  <si>
    <t>méiyǒu N ( zhème/ nàme) A</t>
  </si>
  <si>
    <t>not as A as N</t>
  </si>
  <si>
    <t>我的汉语没有他那么好。</t>
  </si>
  <si>
    <t>My Chinese is not as good as his.</t>
  </si>
  <si>
    <t>https://chinesezerotohero.teachable.com/courses/182498/lectures/2764118</t>
  </si>
  <si>
    <t>A 一点儿/一些</t>
  </si>
  <si>
    <t>A yīdiǎnr/ yīxiē</t>
  </si>
  <si>
    <t>A little more A</t>
  </si>
  <si>
    <t>大山比大卫矮一点儿。</t>
  </si>
  <si>
    <t>Dashan is a little shorter than David.</t>
  </si>
  <si>
    <t>A 得多/多了</t>
  </si>
  <si>
    <t>A dé duō/ duō le</t>
  </si>
  <si>
    <t>much more A</t>
  </si>
  <si>
    <t>今天的作业比昨天多得多。</t>
  </si>
  <si>
    <t>Today's homework is much more than yesterday’s.</t>
  </si>
  <si>
    <t>3.10.2</t>
  </si>
  <si>
    <t># #+1</t>
  </si>
  <si>
    <t># or #+1</t>
  </si>
  <si>
    <t>我每天学习一两个小时汉语。</t>
  </si>
  <si>
    <t>I study Chinese for one or two hours a day.</t>
  </si>
  <si>
    <t>https://chinesezerotohero.teachable.com/courses/182498/lectures/2764122</t>
  </si>
  <si>
    <t>3.11.1</t>
  </si>
  <si>
    <t>把 + Ｏ + Ｖ + 了</t>
  </si>
  <si>
    <t>bǎ + Ｏ + Ｖ + le</t>
  </si>
  <si>
    <t>V’ed the O</t>
  </si>
  <si>
    <t>我把钱包忘了。</t>
  </si>
  <si>
    <t>I forgot my/the wallet.</t>
  </si>
  <si>
    <t>https://chinesezerotohero.teachable.com/courses/183827/lectures/2785318</t>
  </si>
  <si>
    <t>不要/别/没把 + Ｏ + Ｖ + 了</t>
  </si>
  <si>
    <t>bùyào/ bié/ méi bǎ + Ｏ + Ｖ + le</t>
  </si>
  <si>
    <t>don’t/don’t/haven’t V’ed the O</t>
  </si>
  <si>
    <t>别把手机忘了。</t>
  </si>
  <si>
    <t>Don't forget your/the phone.</t>
  </si>
  <si>
    <t>3.11.2</t>
  </si>
  <si>
    <t># 左右</t>
  </si>
  <si>
    <t># zuǒyòu</t>
  </si>
  <si>
    <t>approximately #</t>
  </si>
  <si>
    <t>周末我一般十点左右起床。</t>
  </si>
  <si>
    <t>I usually get up at around 10 o'clock on weekends.</t>
  </si>
  <si>
    <t>https://chinesezerotohero.teachable.com/courses/183827/lectures/2785322</t>
  </si>
  <si>
    <t>3.12.1</t>
  </si>
  <si>
    <t>就 V/A</t>
  </si>
  <si>
    <t>jiù V/A</t>
  </si>
  <si>
    <t>just (better than expected)</t>
  </si>
  <si>
    <t>坐飞机一个小时就到了。</t>
  </si>
  <si>
    <t>It takes only an hour to get there by plane.</t>
  </si>
  <si>
    <t>https://chinesezerotohero.teachable.com/courses/183827/lectures/2785150</t>
  </si>
  <si>
    <t>才 V/A</t>
  </si>
  <si>
    <t>cái V/A</t>
  </si>
  <si>
    <t>just (worse than expected)</t>
  </si>
  <si>
    <t>你怎么才来？</t>
  </si>
  <si>
    <t>How come you only came just now? (Why are you so late?)</t>
  </si>
  <si>
    <t>3.12.2</t>
  </si>
  <si>
    <t>把 + O + V + 在/到 +  PLACE</t>
  </si>
  <si>
    <t>bǎ + O + V + zài/ dào + PLACE</t>
  </si>
  <si>
    <t>V’d the O to PLACE</t>
  </si>
  <si>
    <t>我把照片放在你包里了。</t>
  </si>
  <si>
    <t>I put the photo in your bag.</t>
  </si>
  <si>
    <t>https://chinesezerotohero.teachable.com/courses/183827/lectures/2785153</t>
  </si>
  <si>
    <t>3.13.1</t>
  </si>
  <si>
    <t>V + motion V + 来/去</t>
  </si>
  <si>
    <t>V + motion V + lái/ qù</t>
  </si>
  <si>
    <t>(compound complements of direction)</t>
  </si>
  <si>
    <t>明天我们一起把礼物送过去。</t>
  </si>
  <si>
    <t>Let's send the gift over together tomorrow.</t>
  </si>
  <si>
    <t>https://chinesezerotohero.teachable.com/courses/183827/lectures/2785253</t>
  </si>
  <si>
    <t>3.13.2</t>
  </si>
  <si>
    <t>一边 + V1 + 一边 + V2</t>
  </si>
  <si>
    <t>yībiān + V1 + yībiān + V2</t>
  </si>
  <si>
    <t>V1 while V2</t>
  </si>
  <si>
    <t>他一边唱歌一边跳舞。</t>
  </si>
  <si>
    <t>He sang while he danced.</t>
  </si>
  <si>
    <t>https://chinesezerotohero.teachable.com/courses/183827/lectures/2785257</t>
  </si>
  <si>
    <t>3.14.1</t>
  </si>
  <si>
    <t>把 + O + V + result</t>
  </si>
  <si>
    <t>bǎ + O + V + result</t>
  </si>
  <si>
    <t>V the O until RESULT</t>
  </si>
  <si>
    <t>我把衣服洗干净了。</t>
  </si>
  <si>
    <t>I washed my clothes clean.</t>
  </si>
  <si>
    <t>https://chinesezerotohero.teachable.com/courses/183827/lectures/2785206</t>
  </si>
  <si>
    <t>把 + O + V + direction</t>
  </si>
  <si>
    <t>bǎ + O + V + direction</t>
  </si>
  <si>
    <t>V the O to DIRECTION</t>
  </si>
  <si>
    <t>他把水果拿过来了。</t>
  </si>
  <si>
    <t>He took the fruit over.</t>
  </si>
  <si>
    <t>3.14.2</t>
  </si>
  <si>
    <t>先……再/又……然后……</t>
  </si>
  <si>
    <t>xiān…… zài/ yòu…… ránhòu……</t>
  </si>
  <si>
    <t>First, then, then, …</t>
  </si>
  <si>
    <t>我先坐了公共汽车，又坐了地铁，然后才到小刚家。</t>
  </si>
  <si>
    <t>I first took the bus, then took the subway, and then went to Xiaogang's house.</t>
  </si>
  <si>
    <t>https://chinesezerotohero.teachable.com/courses/183827/lectures/2785210</t>
  </si>
  <si>
    <t>3.15.1</t>
  </si>
  <si>
    <t>除了 N 以外</t>
  </si>
  <si>
    <t>chúle N yǐwài</t>
  </si>
  <si>
    <t>except N</t>
  </si>
  <si>
    <t>除了这个汉字以外，别的我都认识。</t>
  </si>
  <si>
    <t>Except for this Chinese character, I know everything else.</t>
  </si>
  <si>
    <t>https://chinesezerotohero.teachable.com/courses/183827/lectures/2785159</t>
  </si>
  <si>
    <t>除了……(以外)，还……</t>
  </si>
  <si>
    <t>chúle……( yǐwài)， hái……</t>
  </si>
  <si>
    <t>not only…, but also…</t>
  </si>
  <si>
    <t>上网除了看新闻(以外)，还可以听音乐。</t>
  </si>
  <si>
    <t>In addition to watching the news, you can listen to music too.</t>
  </si>
  <si>
    <t>3.15.2</t>
  </si>
  <si>
    <t>any</t>
  </si>
  <si>
    <t>周末你有什么打算吗?</t>
  </si>
  <si>
    <t>Do you have any plans for the weekend?</t>
  </si>
  <si>
    <t>https://chinesezerotohero.teachable.com/courses/183827/lectures/2785163</t>
  </si>
  <si>
    <t>3.15.3</t>
  </si>
  <si>
    <t>A 极了</t>
  </si>
  <si>
    <t>A jíle</t>
  </si>
  <si>
    <t>extremely A</t>
  </si>
  <si>
    <t>今天天气冷极了。</t>
  </si>
  <si>
    <t>The weather is extremely cold today.</t>
  </si>
  <si>
    <t>https://chinesezerotohero.teachable.com/courses/183827/lectures/2785164</t>
  </si>
  <si>
    <t>3.16.1</t>
  </si>
  <si>
    <t>如果……(的话), 就……</t>
  </si>
  <si>
    <t xml:space="preserve">rúguǒ……( dehuà), jiù…… </t>
  </si>
  <si>
    <t>if …, then…</t>
  </si>
  <si>
    <t>如果你太累的话，就休息一会儿。</t>
  </si>
  <si>
    <t>If you are too tired, take a break.</t>
  </si>
  <si>
    <t>https://chinesezerotohero.teachable.com/courses/183827/lectures/2785196</t>
  </si>
  <si>
    <t>3.16.2</t>
  </si>
  <si>
    <t>A + 得 + CLAUSE</t>
  </si>
  <si>
    <t>A + dé + CLAUSE</t>
  </si>
  <si>
    <t>so A that + CLAUSE</t>
  </si>
  <si>
    <t>儿子累得下了班就睡觉了。</t>
  </si>
  <si>
    <t>The son was so tired that he went to sleep as soon as he got off work.</t>
  </si>
  <si>
    <t>https://chinesezerotohero.teachable.com/courses/183827/lectures/2785200</t>
  </si>
  <si>
    <t>3.16.3</t>
  </si>
  <si>
    <t>A + A + 的</t>
  </si>
  <si>
    <t>A + A + de</t>
  </si>
  <si>
    <t>A (with characteristics)</t>
  </si>
  <si>
    <t>她鼻子小小的，头发黑黑的。</t>
  </si>
  <si>
    <t>Her nose is teeny tiny and her hair is black.</t>
  </si>
  <si>
    <t>https://chinesezerotohero.teachable.com/courses/183827/lectures/2785201</t>
  </si>
  <si>
    <t>3.17.1</t>
  </si>
  <si>
    <t>V + V</t>
  </si>
  <si>
    <t>我带你去医院检查检查吧。</t>
  </si>
  <si>
    <t>Let me take you to the hospital for to check up a bit.</t>
  </si>
  <si>
    <t>https://chinesezerotohero.teachable.com/courses/183827/lectures/2785327</t>
  </si>
  <si>
    <t>3.17.2</t>
  </si>
  <si>
    <t>Q + 都</t>
  </si>
  <si>
    <t>Q + dōu</t>
  </si>
  <si>
    <t>Q-ever</t>
  </si>
  <si>
    <t>小刚什么都喜欢吃。</t>
  </si>
  <si>
    <t>Xiao Gang likes to eat anything (lit. whatever).</t>
  </si>
  <si>
    <t>https://chinesezerotohero.teachable.com/courses/183827/lectures/2785331</t>
  </si>
  <si>
    <t>3.18.1</t>
  </si>
  <si>
    <t>只要……就……</t>
  </si>
  <si>
    <t>zhǐyào…… jiù……</t>
  </si>
  <si>
    <t>as long as</t>
  </si>
  <si>
    <t>只要我有时间，就一定跟你去旅游。</t>
  </si>
  <si>
    <t>As long as I have time, I will definitely travel with you.</t>
  </si>
  <si>
    <t>https://chinesezerotohero.teachable.com/courses/183827/lectures/2785169</t>
  </si>
  <si>
    <t>3.18.2</t>
  </si>
  <si>
    <t>关于</t>
  </si>
  <si>
    <t>guānyú</t>
  </si>
  <si>
    <t>about</t>
  </si>
  <si>
    <t>关于这件事，我们还没有决定呢。</t>
  </si>
  <si>
    <t>We have not decided on this matter yet.</t>
  </si>
  <si>
    <t>https://chinesezerotohero.teachable.com/courses/183827/lectures/2785173</t>
  </si>
  <si>
    <t>3.19.1</t>
  </si>
  <si>
    <t>V + 出来</t>
  </si>
  <si>
    <t>V + chūlái</t>
  </si>
  <si>
    <t>V and produce an outcome</t>
  </si>
  <si>
    <t>这个字你能写出来吗?</t>
  </si>
  <si>
    <t>Can you write (out) this word?</t>
  </si>
  <si>
    <t>https://chinesezerotohero.teachable.com/courses/183827/lectures/2785178</t>
  </si>
  <si>
    <t>V and recognize</t>
  </si>
  <si>
    <t>你听出来了吗？这是谁的声音？</t>
  </si>
  <si>
    <t>After listening, did you recognize [it]? Whose voice is this?</t>
  </si>
  <si>
    <t>V + 下来</t>
  </si>
  <si>
    <t>V + xiàlai</t>
  </si>
  <si>
    <t>V down</t>
  </si>
  <si>
    <t>我真希望时间能慢下来。</t>
  </si>
  <si>
    <t>I really hope that time can slow down.</t>
  </si>
  <si>
    <t>想起来</t>
  </si>
  <si>
    <t>xiǎngqilai</t>
  </si>
  <si>
    <t>to recall</t>
  </si>
  <si>
    <t>我想不起来他的名字了。</t>
  </si>
  <si>
    <t>I can't think of (lit. think up) his name.</t>
  </si>
  <si>
    <t>看起来/看上去</t>
  </si>
  <si>
    <t>kànqǐlái/ kànshangqu</t>
  </si>
  <si>
    <t>to seem</t>
  </si>
  <si>
    <t>他看上去/看起来像40多岁。</t>
  </si>
  <si>
    <t>He looks like he is in his 40s.</t>
  </si>
  <si>
    <t>3.19.2</t>
  </si>
  <si>
    <t>使/叫/让 + O + A/V</t>
  </si>
  <si>
    <t>shǐ/ jiào/ ràng + O + A/V</t>
  </si>
  <si>
    <t>make O A/V</t>
  </si>
  <si>
    <t>读书使/叫/让我快乐。</t>
  </si>
  <si>
    <t>Reading makes me happy.</t>
  </si>
  <si>
    <t>https://chinesezerotohero.teachable.com/courses/183827/lectures/2785182</t>
  </si>
  <si>
    <t>3.20.1</t>
  </si>
  <si>
    <t>O + 被/叫/让 + S + V</t>
  </si>
  <si>
    <t>O + bèi/ jiào/ ràng + S + V</t>
  </si>
  <si>
    <t>O is V’ed by S</t>
  </si>
  <si>
    <t>我的照相机被/叫/让谁拿走了?</t>
  </si>
  <si>
    <t>My camera was taken by who?</t>
  </si>
  <si>
    <t>https://chinesezerotohero.teachable.com/courses/183827/lectures/2785187</t>
  </si>
  <si>
    <t>O + 不/没 + 被/叫/让 + S + V</t>
  </si>
  <si>
    <t>O + bù/ méi + bèi/ jiào/ ràng + S + V</t>
  </si>
  <si>
    <t>O is not V’ed by S</t>
  </si>
  <si>
    <t>问题还没有被解决呢。</t>
  </si>
  <si>
    <t>The problem has not been solved yet.</t>
  </si>
  <si>
    <t>3.20.2</t>
  </si>
  <si>
    <t>只有……才……</t>
  </si>
  <si>
    <t>zhǐyǒu…… cái……</t>
  </si>
  <si>
    <t>only if</t>
  </si>
  <si>
    <t>只有写完作业，才能看电视。</t>
  </si>
  <si>
    <t>You can watch TV only if you finish your homework.</t>
  </si>
  <si>
    <t>https://chinesezerotohero.teachable.com/courses/183827/lectures/2785191</t>
  </si>
  <si>
    <t>4.01.1</t>
  </si>
  <si>
    <t>不仅……也/还/而且……</t>
  </si>
  <si>
    <t>bùjǐn…… yě/ hái/ érqiě……</t>
  </si>
  <si>
    <t>Not only… but also…</t>
  </si>
  <si>
    <t>我不仅看过《泰坦尼克号》，也看过《诺丁山》。</t>
  </si>
  <si>
    <t>I have not only seen Titanic, but also Notting Hill.</t>
  </si>
  <si>
    <t>https://chinesezerotohero.teachable.com/courses/281078/lectures/4332370</t>
  </si>
  <si>
    <t>不仅 S1……，S2 也……</t>
  </si>
  <si>
    <t>bùjǐn S1……，S2 yě……</t>
  </si>
  <si>
    <t>Not only S1…, S2 also…</t>
  </si>
  <si>
    <t>不仅马克看过《诺丁山》，我也看过《诺丁山》。</t>
  </si>
  <si>
    <t>Not only did Mark see Notting Hill, I also saw Notting Hill.</t>
  </si>
  <si>
    <t>4.01.2</t>
  </si>
  <si>
    <t>从来不 V</t>
  </si>
  <si>
    <t>cóngláibù V</t>
  </si>
  <si>
    <t>never V</t>
  </si>
  <si>
    <t>我中午从来不睡觉。</t>
  </si>
  <si>
    <t>I never sleep at noon.</t>
  </si>
  <si>
    <t>https://chinesezerotohero.teachable.com/courses/281078/lectures/4332374</t>
  </si>
  <si>
    <t>从来没 V/A 过</t>
  </si>
  <si>
    <t>cóngláiméi V/A guò</t>
  </si>
  <si>
    <t>never have V’ed, never have been A</t>
  </si>
  <si>
    <t>他爸爸妈妈从来没这么高兴过。</t>
  </si>
  <si>
    <t>His father and mother have never been so happy.</t>
  </si>
  <si>
    <t>4.01.3</t>
  </si>
  <si>
    <t>刚/刚刚 V</t>
  </si>
  <si>
    <t>gāng/ gānggang V</t>
  </si>
  <si>
    <t>just V’ed</t>
  </si>
  <si>
    <t>我上个月刚结婚。</t>
  </si>
  <si>
    <t>I just got married last month.</t>
  </si>
  <si>
    <t>https://chinesezerotohero.teachable.com/courses/281078/lectures/4332378</t>
  </si>
  <si>
    <t>刚 + V + DURATION</t>
  </si>
  <si>
    <t>gāng + V + DURATION</t>
  </si>
  <si>
    <t>have V’ed for just DURATION</t>
  </si>
  <si>
    <t>他刚来一个月。</t>
  </si>
  <si>
    <t>He’s been [lit. come] here for just a month.</t>
  </si>
  <si>
    <t>刚才我收到了一封电子邮件。</t>
  </si>
  <si>
    <t>I just received an email.</t>
  </si>
  <si>
    <t>4.01.4</t>
  </si>
  <si>
    <t>即使……也……</t>
  </si>
  <si>
    <t>jíshǐ…… yě……</t>
  </si>
  <si>
    <t>even if…, still…</t>
  </si>
  <si>
    <t>即使冬天很冷，他也每天去操场跑步。</t>
  </si>
  <si>
    <t>Even if it’s very cold in winter, he still goes to the playground to job every day.</t>
  </si>
  <si>
    <t>https://chinesezerotohero.teachable.com/courses/281078/lectures/4332387</t>
  </si>
  <si>
    <t>4.01.5</t>
  </si>
  <si>
    <t>(在) N 上</t>
  </si>
  <si>
    <t>( zài) N shàng</t>
  </si>
  <si>
    <t>with regard to N</t>
  </si>
  <si>
    <t>在爱好上，我更像我妈妈。</t>
  </si>
  <si>
    <t>In terms of hobbies, I am more like my mother.</t>
  </si>
  <si>
    <t>https://chinesezerotohero.teachable.com/courses/281078/lectures/4332388</t>
  </si>
  <si>
    <t>4.02.1</t>
  </si>
  <si>
    <t>正好</t>
  </si>
  <si>
    <t>zhènghǎo</t>
  </si>
  <si>
    <t>just right</t>
  </si>
  <si>
    <t>衣服大小正好。</t>
  </si>
  <si>
    <t>The clothes are just the right size.</t>
  </si>
  <si>
    <t>https://chinesezerotohero.teachable.com/courses/281078/lectures/4421985</t>
  </si>
  <si>
    <t>V 得正好</t>
  </si>
  <si>
    <t>V dé zhènghǎo</t>
  </si>
  <si>
    <t>V’ed at just the right time</t>
  </si>
  <si>
    <t>你来得正好。</t>
  </si>
  <si>
    <t>You came at just the right time.</t>
  </si>
  <si>
    <t>4.02.2</t>
  </si>
  <si>
    <t>N &amp; N 差不多</t>
  </si>
  <si>
    <t>N &amp; N chàbuduō</t>
  </si>
  <si>
    <t>N &amp; N are about the same</t>
  </si>
  <si>
    <t>这辆车的颜色和那辆车的颜色差不多。</t>
  </si>
  <si>
    <t>The color of this car is similar to the color of that car.</t>
  </si>
  <si>
    <t>https://chinesezerotohero.teachable.com/courses/281078/lectures/4422049</t>
  </si>
  <si>
    <t>差不多 #</t>
  </si>
  <si>
    <t>chàbuduō #</t>
  </si>
  <si>
    <t>about #</t>
  </si>
  <si>
    <t>这台电脑差不多5000块。</t>
  </si>
  <si>
    <t>This computer is about 5,000 yuan.</t>
  </si>
  <si>
    <t>差不多 A</t>
  </si>
  <si>
    <t>chàbuduō A</t>
  </si>
  <si>
    <t>about A</t>
  </si>
  <si>
    <t>女儿个子跟我差不多一样高。</t>
  </si>
  <si>
    <t>My daughter is about as tall as me.</t>
  </si>
  <si>
    <t>差不多 V</t>
  </si>
  <si>
    <t>chàbuduō V</t>
  </si>
  <si>
    <t>about V’ed</t>
  </si>
  <si>
    <t>工作差不多干完了。</t>
  </si>
  <si>
    <t>Work is about finished.</t>
  </si>
  <si>
    <t>几乎 #</t>
  </si>
  <si>
    <t>jīhū #</t>
  </si>
  <si>
    <t>almost #</t>
  </si>
  <si>
    <t>这台电脑几乎5000块。</t>
  </si>
  <si>
    <t>This computer is almost 5,000 yuan.</t>
  </si>
  <si>
    <t>几乎 A</t>
  </si>
  <si>
    <t>jīhū A</t>
  </si>
  <si>
    <t>almost</t>
  </si>
  <si>
    <t>得失几乎相当。</t>
  </si>
  <si>
    <t>The loss and the gain are almost the same.</t>
  </si>
  <si>
    <t>几乎 V</t>
  </si>
  <si>
    <t>jīhū V</t>
  </si>
  <si>
    <t>这件事我几乎忘了告诉你了。</t>
  </si>
  <si>
    <t>I almost forgot to tell you about this.</t>
  </si>
  <si>
    <t>4.02.3</t>
  </si>
  <si>
    <t>尽管</t>
  </si>
  <si>
    <t>jǐnguǎn</t>
  </si>
  <si>
    <t>although</t>
  </si>
  <si>
    <t>尽管今天很冷，可是他穿的衣服很少。</t>
  </si>
  <si>
    <t>Although it is very cold today, he wears very little clothes.</t>
  </si>
  <si>
    <t>https://chinesezerotohero.teachable.com/courses/281078/lectures/4422084</t>
  </si>
  <si>
    <t>4.02.4</t>
  </si>
  <si>
    <t>(虽然/尽管) …… 却</t>
  </si>
  <si>
    <t>( suīrán/ jǐnguǎn) …… què</t>
  </si>
  <si>
    <t>(although)… but</t>
  </si>
  <si>
    <t>(虽然/尽管) 工作很忙，她们却每天坚持锻炼。</t>
  </si>
  <si>
    <t>(Although) they are busy at work, but they insist on exercising every day.</t>
  </si>
  <si>
    <t>https://chinesezerotohero.teachable.com/courses/281078/lectures/4422102</t>
  </si>
  <si>
    <t>4.02.5</t>
  </si>
  <si>
    <t>而</t>
  </si>
  <si>
    <t>ér</t>
  </si>
  <si>
    <t>and/but</t>
  </si>
  <si>
    <t>听、说能力很重要，而写汉字的能力也重要。</t>
  </si>
  <si>
    <t>Listening and speaking abilities are very important, and (on the other hand) the ability to write Chinese characters is also important.</t>
  </si>
  <si>
    <t>https://chinesezerotohero.teachable.com/courses/281078/lectures/4422160</t>
  </si>
  <si>
    <t>4.03.1</t>
  </si>
  <si>
    <t>挺 A 的</t>
  </si>
  <si>
    <t>tǐng A de</t>
  </si>
  <si>
    <t>quite A</t>
  </si>
  <si>
    <t>我挺喜欢这个地方的。</t>
  </si>
  <si>
    <t>I quite like this place.</t>
  </si>
  <si>
    <t>https://chinesezerotohero.teachable.com/courses/281078/lectures/4422169</t>
  </si>
  <si>
    <t>4.03.2</t>
  </si>
  <si>
    <t>本来 V/A</t>
  </si>
  <si>
    <t>běnlái V/A</t>
  </si>
  <si>
    <t>originally V/A</t>
  </si>
  <si>
    <t>她本来想学新闻，但是现在学习法律。</t>
  </si>
  <si>
    <t>She originally wanted to learn the news, but now she is studying law.</t>
  </si>
  <si>
    <t>https://chinesezerotohero.teachable.com/courses/281078/lectures/4422183</t>
  </si>
  <si>
    <t>本来就 V/A</t>
  </si>
  <si>
    <t>běnlái jiù V/A</t>
  </si>
  <si>
    <t>V/A in the first place</t>
  </si>
  <si>
    <t>学生本来就不应该上课迟到。</t>
  </si>
  <si>
    <t>Students should not be late for class in the first place.</t>
  </si>
  <si>
    <t>4.03.3</t>
  </si>
  <si>
    <t>另/另外/另外的 + # + N</t>
  </si>
  <si>
    <t>lìng/ lìngwài/ lìngwài de + # + N</t>
  </si>
  <si>
    <t>another # N</t>
  </si>
  <si>
    <t>他拿出另/另外/另外的一本书。</t>
  </si>
  <si>
    <t>He took out another book.</t>
  </si>
  <si>
    <t>https://chinesezerotohero.teachable.com/courses/281078/lectures/4422189</t>
  </si>
  <si>
    <t>另外的/其他的/别的 N</t>
  </si>
  <si>
    <t>lìngwài de/ qítā de/ biéde N</t>
  </si>
  <si>
    <t>other N</t>
  </si>
  <si>
    <t>不要看这本书，请看另外的/其他的/别的书。</t>
  </si>
  <si>
    <t>Don't read this book, please read other books.</t>
  </si>
  <si>
    <t>另/另外 V</t>
  </si>
  <si>
    <t>lìng/ lìngwài V</t>
  </si>
  <si>
    <t>V another</t>
  </si>
  <si>
    <t>他另/另外给了我三十元。</t>
  </si>
  <si>
    <t>He gave me another 30 yuan.</t>
  </si>
  <si>
    <t>另外，……</t>
  </si>
  <si>
    <t>lìngwài，……</t>
  </si>
  <si>
    <t>In addition, …</t>
  </si>
  <si>
    <t>多吃水果。另外，还要记得多喝水。</t>
  </si>
  <si>
    <t>Eat more fruits. Also, remember to drink more water.</t>
  </si>
  <si>
    <t>4.03.4</t>
  </si>
  <si>
    <t>首先……其次……</t>
  </si>
  <si>
    <t>shǒuxiān…… qícì……</t>
  </si>
  <si>
    <t>First… second…</t>
  </si>
  <si>
    <t>应聘时，首先要穿正式的衣服，其次不要紧张。</t>
  </si>
  <si>
    <t>At the job interview, first [you] should wear formal clothing, and second don't be nervous.</t>
  </si>
  <si>
    <t>https://chinesezerotohero.teachable.com/courses/281078/lectures/4422195</t>
  </si>
  <si>
    <t>4.03.5</t>
  </si>
  <si>
    <t>不管</t>
  </si>
  <si>
    <t>bùguǎn</t>
  </si>
  <si>
    <t>no matter</t>
  </si>
  <si>
    <t>不管什么电影，我都喜欢看。</t>
  </si>
  <si>
    <t>I like to watch all kinds of movies. (Lit. No matter what movie, I like to watch them all.)</t>
  </si>
  <si>
    <t>https://chinesezerotohero.teachable.com/courses/281078/lectures/4423053</t>
  </si>
  <si>
    <t>4.04.1</t>
  </si>
  <si>
    <t>以为</t>
  </si>
  <si>
    <t>yǐwéi</t>
  </si>
  <si>
    <t>to believe falsely</t>
  </si>
  <si>
    <t>我以为东西是给我的，其实是给爸爸的。</t>
  </si>
  <si>
    <t>I thought the thing was for me, but actually it was for my father.</t>
  </si>
  <si>
    <t>https://chinesezerotohero.teachable.com/courses/281078/lectures/4423130</t>
  </si>
  <si>
    <t>4.04.2</t>
  </si>
  <si>
    <t>原来/本来</t>
  </si>
  <si>
    <t>yuánlái/ běnlái</t>
  </si>
  <si>
    <t>originally</t>
  </si>
  <si>
    <t>原来/本来需要12个小时。</t>
  </si>
  <si>
    <t>It originally required 12 hours.</t>
  </si>
  <si>
    <t>https://chinesezerotohero.teachable.com/courses/281078/lectures/4423168</t>
  </si>
  <si>
    <t>原来 clause</t>
  </si>
  <si>
    <t>yuánlái clause</t>
  </si>
  <si>
    <t>it turns out</t>
  </si>
  <si>
    <t>我还以为是谁帮我打扫房间呢，原来是你啊！</t>
  </si>
  <si>
    <t>I was wondering who was cleaning the room for me. It turns out it’s you!</t>
  </si>
  <si>
    <t>(see 4.03.2)</t>
  </si>
  <si>
    <t>-</t>
  </si>
  <si>
    <t>4.04.3</t>
  </si>
  <si>
    <t>并不/并没 V/A</t>
  </si>
  <si>
    <t>bìngbù/ bìng méi V/A</t>
  </si>
  <si>
    <t>(emphasize the negative)</t>
  </si>
  <si>
    <t>大家说外面很冷，但我并不觉得冷。</t>
  </si>
  <si>
    <t>Everyone said that it was cold outside, but I (rather) didn’t feel cold.</t>
  </si>
  <si>
    <t>https://chinesezerotohero.teachable.com/courses/281078/lectures/4423171</t>
  </si>
  <si>
    <t>4.04.4</t>
  </si>
  <si>
    <t>按照 N</t>
  </si>
  <si>
    <t>ànzhào N</t>
  </si>
  <si>
    <t>according to N</t>
  </si>
  <si>
    <t>我们还是按照原来的计划进行。</t>
  </si>
  <si>
    <t>We are still proceeding according to the original plan.</t>
  </si>
  <si>
    <t>https://chinesezerotohero.teachable.com/courses/281078/lectures/4423204</t>
  </si>
  <si>
    <t>4.04.5</t>
  </si>
  <si>
    <t>甚至 V/A</t>
  </si>
  <si>
    <t>shènzhì V/A</t>
  </si>
  <si>
    <t>even V/A</t>
  </si>
  <si>
    <t>他工作很努力，甚至忘了吃饭。</t>
  </si>
  <si>
    <t>He worked hard and even forgot to eat.</t>
  </si>
  <si>
    <t>https://chinesezerotohero.teachable.com/courses/281078/lectures/4423210</t>
  </si>
  <si>
    <t>4.05.1</t>
  </si>
  <si>
    <t>肯定 V/A</t>
  </si>
  <si>
    <t>kěndìng V/A</t>
  </si>
  <si>
    <t>certainly V/A</t>
  </si>
  <si>
    <t>运动对身体健康肯定有好处。</t>
  </si>
  <si>
    <t>Exercise is definitely good for your health.</t>
  </si>
  <si>
    <t>https://chinesezerotohero.teachable.com/courses/281078/lectures/4423222</t>
  </si>
  <si>
    <t>肯定</t>
  </si>
  <si>
    <t>kěndìng</t>
  </si>
  <si>
    <t>certain</t>
  </si>
  <si>
    <t>我能肯定，张远一定会来。</t>
  </si>
  <si>
    <t>I can be sure that Zhang Yuan will definitely come.</t>
  </si>
  <si>
    <t>肯定的</t>
  </si>
  <si>
    <t>kěndìng de</t>
  </si>
  <si>
    <t>affirmative, positive</t>
  </si>
  <si>
    <t>他的回答是肯定的。</t>
  </si>
  <si>
    <t>His answer is yes (in the affirmative).</t>
  </si>
  <si>
    <t>4.05.2</t>
  </si>
  <si>
    <t>再说</t>
  </si>
  <si>
    <t>zàishuō</t>
  </si>
  <si>
    <t>talk about it / deal with it until a later time</t>
  </si>
  <si>
    <t>现在学习忙，考完再说吧。</t>
  </si>
  <si>
    <t>I’m busy studying now, let’s talk about it / deal with it (until) after the exam.</t>
  </si>
  <si>
    <t>https://chinesezerotohero.teachable.com/courses/281078/lectures/4423226</t>
  </si>
  <si>
    <t>besides</t>
  </si>
  <si>
    <t>毕业后大家都很忙，再说，很多同学不在一个城市。</t>
  </si>
  <si>
    <t>After graduation, everyone was very busy. Besides, many students are not in a city.</t>
  </si>
  <si>
    <t>4.05.3</t>
  </si>
  <si>
    <t>实际的</t>
  </si>
  <si>
    <t>shíjì de</t>
  </si>
  <si>
    <t>real</t>
  </si>
  <si>
    <t>实际的东西跟广告上的不一样。</t>
  </si>
  <si>
    <t>The actual thing is different from the one on the advertisement.</t>
  </si>
  <si>
    <t>https://chinesezerotohero.teachable.com/courses/281078/lectures/4423230</t>
  </si>
  <si>
    <t>实际</t>
  </si>
  <si>
    <t>shíjì</t>
  </si>
  <si>
    <t>reality</t>
  </si>
  <si>
    <t>广告跟实际不一样。</t>
  </si>
  <si>
    <t>Advertising is not the same as the actual [thing].</t>
  </si>
  <si>
    <t>实际上</t>
  </si>
  <si>
    <t>shíjìshàng</t>
  </si>
  <si>
    <t>in reality</t>
  </si>
  <si>
    <t>广告说得好，实际上不一定好。</t>
  </si>
  <si>
    <t>The advertisement is well said, but it is not necessarily good in reality.</t>
  </si>
  <si>
    <t>4.05.4</t>
  </si>
  <si>
    <t>对……来说</t>
  </si>
  <si>
    <t>duì…… láishuō</t>
  </si>
  <si>
    <t>for, as for</t>
  </si>
  <si>
    <t>对我来说，学习机会更重要。</t>
  </si>
  <si>
    <t>For me, learning opportunities are more important.</t>
  </si>
  <si>
    <t>https://chinesezerotohero.teachable.com/courses/281078/lectures/4423233</t>
  </si>
  <si>
    <t>4.05.5</t>
  </si>
  <si>
    <t>特别</t>
  </si>
  <si>
    <t>tèbié</t>
  </si>
  <si>
    <t>very much, extremely</t>
  </si>
  <si>
    <t>您女儿长得特别像您。</t>
  </si>
  <si>
    <t>Your daughter looks especially like you.</t>
  </si>
  <si>
    <t>https://chinesezerotohero.teachable.com/courses/281078/lectures/4423240</t>
  </si>
  <si>
    <t>特别/尤其</t>
  </si>
  <si>
    <t>tèbié/ yóuqí</t>
  </si>
  <si>
    <t>especially, particularly</t>
  </si>
  <si>
    <t>您女儿长得真像您，特别是/尤其眼睛。</t>
  </si>
  <si>
    <t>Your daughter looks like you, especially her eyes.</t>
  </si>
  <si>
    <t>特别的</t>
  </si>
  <si>
    <t>tèbié de</t>
  </si>
  <si>
    <t>special</t>
  </si>
  <si>
    <t>我有一个特别的要求。</t>
  </si>
  <si>
    <t>I have a special request.</t>
  </si>
  <si>
    <t>4.06.1</t>
  </si>
  <si>
    <t>竟然 V/A</t>
  </si>
  <si>
    <t>jìngrán V/A</t>
  </si>
  <si>
    <t>(expressing surprise)</t>
  </si>
  <si>
    <t>这个歌特别好听，最近很流行，你竟然没听过？</t>
  </si>
  <si>
    <t>This song is particularly nice, it has been very popular recently, you’re telling me you’ve never heard of it?</t>
  </si>
  <si>
    <t>https://chinesezerotohero.teachable.com/courses/292789/lectures/4505534</t>
  </si>
  <si>
    <t>4.06.2</t>
  </si>
  <si>
    <t># 倍</t>
  </si>
  <si>
    <t># bèi</t>
  </si>
  <si>
    <t># times</t>
  </si>
  <si>
    <t>二的五倍是十。</t>
  </si>
  <si>
    <t>2, multiplied 5 times, is 10.</t>
  </si>
  <si>
    <t>https://chinesezerotohero.teachable.com/courses/292789/lectures/4505533</t>
  </si>
  <si>
    <t>4.06.3</t>
  </si>
  <si>
    <t>值得 V</t>
  </si>
  <si>
    <t>zhíde V</t>
  </si>
  <si>
    <t>is worth</t>
  </si>
  <si>
    <t>您看看这个，不管从价格方面看， 还是从质量上看， 都是值得考虑的。</t>
  </si>
  <si>
    <t>Look at this, both in terms of price and quality, it is worth considering.</t>
  </si>
  <si>
    <t>https://chinesezerotohero.teachable.com/courses/292789/lectures/4505535</t>
  </si>
  <si>
    <t>值/值得</t>
  </si>
  <si>
    <t>zhí/ zhíde</t>
  </si>
  <si>
    <t>is worth it</t>
  </si>
  <si>
    <t>别总是为一点儿小事生气，不值/值得。</t>
  </si>
  <si>
    <t>Don't always be angry with a little thing, it’s not worth it.</t>
  </si>
  <si>
    <t>值 $</t>
  </si>
  <si>
    <t>zhí $</t>
  </si>
  <si>
    <t>is worth $</t>
  </si>
  <si>
    <t>这个手表值五十块。</t>
  </si>
  <si>
    <t>This watch is worth fifty yuan.</t>
  </si>
  <si>
    <t>4.06.4</t>
  </si>
  <si>
    <t>其中</t>
  </si>
  <si>
    <t>qízhōng</t>
  </si>
  <si>
    <t>among them</t>
  </si>
  <si>
    <t>我们不仅要会读书，还要会选择其中的好书来读。</t>
  </si>
  <si>
    <t>Not only do we have to read books, but we also need to know how to choose the good ones among them to read.</t>
  </si>
  <si>
    <t>https://chinesezerotohero.teachable.com/courses/292789/lectures/4505536</t>
  </si>
  <si>
    <t>4.06.5</t>
  </si>
  <si>
    <t>(在) SITUATION 下</t>
  </si>
  <si>
    <t>( zài) SITUATION xià</t>
  </si>
  <si>
    <t>under SITUATION</t>
  </si>
  <si>
    <t>(在) 一般情况下，你花的钱越多，买的东西也就越好。</t>
  </si>
  <si>
    <t>In general (lit. under general circumstances), the more money you spend, the better the goods you buy.</t>
  </si>
  <si>
    <t>https://chinesezerotohero.teachable.com/courses/292789/lectures/4505538</t>
  </si>
  <si>
    <t>4.07.1</t>
  </si>
  <si>
    <t>估计/可能 CLAUSE</t>
  </si>
  <si>
    <t>gūjì/ kěnéng CLAUSE</t>
  </si>
  <si>
    <t>perhaps CLAUSE</t>
  </si>
  <si>
    <t>你有没有去问问小王？估计/可能他应该有办法。</t>
  </si>
  <si>
    <t>Have you asked Xiao Wang? Perhaps he should have a solution.</t>
  </si>
  <si>
    <t>https://chinesezerotohero.teachable.com/courses/292789/lectures/4505570</t>
  </si>
  <si>
    <t>估计/可能 V</t>
  </si>
  <si>
    <t>gūjì/ kěnéng V</t>
  </si>
  <si>
    <t>perhaps V</t>
  </si>
  <si>
    <t>我还不习惯北方的气候，估计/可能是天气太干。</t>
  </si>
  <si>
    <t>I am not used to the climate in the north. Perhaps it’s because the weather is too dry.</t>
  </si>
  <si>
    <t>可能的 N</t>
  </si>
  <si>
    <t>kěnéng de N</t>
  </si>
  <si>
    <t>probable</t>
  </si>
  <si>
    <t>他这么多天没来上课，最可能的原因就是他回国了。</t>
  </si>
  <si>
    <t>He did not come to class for so many days. The most probable reason is that he returned to China.</t>
  </si>
  <si>
    <t>4.07.2</t>
  </si>
  <si>
    <t>来不及</t>
  </si>
  <si>
    <t>láibují</t>
  </si>
  <si>
    <t>be too late</t>
  </si>
  <si>
    <t>等你身体出现问题了，后悔就来不及了。</t>
  </si>
  <si>
    <t>When you have a problem with your health, it’ll be too late to regret it.</t>
  </si>
  <si>
    <t>https://chinesezerotohero.teachable.com/courses/292789/lectures/4505571</t>
  </si>
  <si>
    <t>4.07.3</t>
  </si>
  <si>
    <t>V + V + O</t>
  </si>
  <si>
    <t>VO for a bit (reduplication)</t>
  </si>
  <si>
    <t>咱们午饭后就去附近的公园散散步吧。</t>
  </si>
  <si>
    <t>Let's go for a walk in the nearby park after lunch.</t>
  </si>
  <si>
    <t>https://chinesezerotohero.teachable.com/courses/292789/lectures/4505572</t>
  </si>
  <si>
    <t>V + 了 + V + O</t>
  </si>
  <si>
    <t>V + le + V + O</t>
  </si>
  <si>
    <t>V’ed O for a bit (reduplication)</t>
  </si>
  <si>
    <t>星期天我睡了睡觉，游了游泳，做了做作业。</t>
  </si>
  <si>
    <t>On Sunday, I slept a bit, did some swimming, [and] did some homework.</t>
  </si>
  <si>
    <t>4.07.4</t>
  </si>
  <si>
    <t>要是</t>
  </si>
  <si>
    <t>yàoshi</t>
  </si>
  <si>
    <t>if</t>
  </si>
  <si>
    <t>要是质量好的话，那么价格贵一点儿也没关系。</t>
  </si>
  <si>
    <t>If the quality is good, then it doesn't matter if the price is a little bit expensive.</t>
  </si>
  <si>
    <t>https://chinesezerotohero.teachable.com/courses/292789/lectures/4505573</t>
  </si>
  <si>
    <t>4.07.5</t>
  </si>
  <si>
    <t>既..... 又/也/还……</t>
  </si>
  <si>
    <t>jì..... yòu/ yě/ hái……</t>
  </si>
  <si>
    <t>散步既可以活动身体，又可以减肥。</t>
  </si>
  <si>
    <t>Walking can [allow you to] both move the body and lose weight.</t>
  </si>
  <si>
    <t>https://chinesezerotohero.teachable.com/courses/292789/lectures/4505574</t>
  </si>
  <si>
    <t>4.08.1</t>
  </si>
  <si>
    <t>使 O A/V</t>
  </si>
  <si>
    <t>shǐ O A/V</t>
  </si>
  <si>
    <t>怎么样才能使她喜欢我呢？</t>
  </si>
  <si>
    <t>How can I make her like me?</t>
  </si>
  <si>
    <t>https://chinesezerotohero.teachable.com/courses/292789/lectures/4505625</t>
  </si>
  <si>
    <t>4.08.2</t>
  </si>
  <si>
    <t>只要……(就)……</t>
  </si>
  <si>
    <t>zhǐyào……( jiù)……</t>
  </si>
  <si>
    <t>as long as… (then)…</t>
  </si>
  <si>
    <t>只要这次你好好儿准备，(就) 一定能把比赛踢好。</t>
  </si>
  <si>
    <t>As long as you are ready this time, you will be able to play the match well.</t>
  </si>
  <si>
    <t>https://chinesezerotohero.teachable.com/courses/292789/lectures/4505626</t>
  </si>
  <si>
    <t>4.08.3</t>
  </si>
  <si>
    <t>可不是！</t>
  </si>
  <si>
    <t>kěbushì！</t>
  </si>
  <si>
    <t>No kidding!</t>
  </si>
  <si>
    <t>A: 没想到咱们毕业都已经十年了。B: 可不是！时间过得太快了， 真想大家。</t>
  </si>
  <si>
    <t xml:space="preserve">A: I didn't expect that we have graduated for ten years.
B: Tell me about it! Time flies too fast, I really miss everyone. </t>
  </si>
  <si>
    <t>https://chinesezerotohero.teachable.com/courses/292789/lectures/4505628</t>
  </si>
  <si>
    <t>4.08.4</t>
  </si>
  <si>
    <t>因此</t>
  </si>
  <si>
    <t>yīncǐ</t>
  </si>
  <si>
    <t>therefore</t>
  </si>
  <si>
    <t>我认识他很多年，因此，很了解他的性格。</t>
  </si>
  <si>
    <t>I have known him for many years, so I know his character very well.</t>
  </si>
  <si>
    <t>https://chinesezerotohero.teachable.com/courses/292789/lectures/4505627</t>
  </si>
  <si>
    <t>4.08.5</t>
  </si>
  <si>
    <t>往往</t>
  </si>
  <si>
    <t>wǎngwǎng</t>
  </si>
  <si>
    <t>usually, often</t>
  </si>
  <si>
    <t>女孩子对衣服颜色的选择往往与她们的性格有关。</t>
  </si>
  <si>
    <t>Girls' choice of clothing color is often related to their personality.</t>
  </si>
  <si>
    <t>https://chinesezerotohero.teachable.com/courses/292789/lectures/4505629</t>
  </si>
  <si>
    <t>经常/常</t>
  </si>
  <si>
    <t>jīngcháng/ cháng</t>
  </si>
  <si>
    <t>often</t>
  </si>
  <si>
    <t>上大学时我很喜欢运动，经常/常打篮球、踢足球。</t>
  </si>
  <si>
    <t>When I was in college, I liked sports very much. I often played basketball and football.</t>
  </si>
  <si>
    <t>4.09.1</t>
  </si>
  <si>
    <t>难道</t>
  </si>
  <si>
    <t>nándào</t>
  </si>
  <si>
    <t>could it be that</t>
  </si>
  <si>
    <t>怎么又买了这么多饼干和巧克力？难道你不减肥了？</t>
  </si>
  <si>
    <t>How did you buy so many cookies and chocolates? Could it be that you’re not dieting any more?</t>
  </si>
  <si>
    <t>https://chinesezerotohero.teachable.com/courses/292789/lectures/4505649</t>
  </si>
  <si>
    <t>4.09.2</t>
  </si>
  <si>
    <t>通过</t>
  </si>
  <si>
    <t>tōngguò</t>
  </si>
  <si>
    <t>through</t>
  </si>
  <si>
    <t>任何成功都要通过努力才能得到。</t>
  </si>
  <si>
    <t>Any success must be achieved through hard work.</t>
  </si>
  <si>
    <t>https://chinesezerotohero.teachable.com/courses/292789/lectures/4505650</t>
  </si>
  <si>
    <t>经过</t>
  </si>
  <si>
    <t>jīngguò</t>
  </si>
  <si>
    <t>after having gone through</t>
  </si>
  <si>
    <t>经过一次次失败之后，他终于成功了。</t>
  </si>
  <si>
    <t>Having gone through many failures, he finally succeeded.</t>
  </si>
  <si>
    <t>pass through</t>
  </si>
  <si>
    <t>这条街只能步行通过。</t>
  </si>
  <si>
    <t>You can only go through this street on foot.</t>
  </si>
  <si>
    <t>pass by</t>
  </si>
  <si>
    <t>我正好经过这儿，顺便过来看看你。</t>
  </si>
  <si>
    <t>It just so happened that I’m passing by, [so I] came to see you on the way.</t>
  </si>
  <si>
    <t>to pass (an exam, interview or resolution)</t>
  </si>
  <si>
    <t>我通过那家公司的面试了。</t>
  </si>
  <si>
    <t>I passed the interview with that company.</t>
  </si>
  <si>
    <t>the whole story</t>
  </si>
  <si>
    <t>小王把事情的经过告诉我了。</t>
  </si>
  <si>
    <t>Xiao Wang told me the whole story of [how] the event [happened].</t>
  </si>
  <si>
    <t>4.09.3</t>
  </si>
  <si>
    <t>可是</t>
  </si>
  <si>
    <t>kěshì</t>
  </si>
  <si>
    <t>but</t>
  </si>
  <si>
    <t>当时她的父母和亲戚都不支持她，可是她坚持自己的选择。</t>
  </si>
  <si>
    <t>At that time her parents and relatives did not support her, but she insisted on her choice.</t>
  </si>
  <si>
    <t>https://chinesezerotohero.teachable.com/courses/292789/lectures/4505652</t>
  </si>
  <si>
    <t>4.09.4</t>
  </si>
  <si>
    <t>结果</t>
  </si>
  <si>
    <t>jiéguǒ</t>
  </si>
  <si>
    <t>result</t>
  </si>
  <si>
    <t>请把调查结果交上来。</t>
  </si>
  <si>
    <t>Please submit the results of the investigation.</t>
  </si>
  <si>
    <t>https://chinesezerotohero.teachable.com/courses/292789/lectures/4505651</t>
  </si>
  <si>
    <t>结果……</t>
  </si>
  <si>
    <t>jiéguǒ……</t>
  </si>
  <si>
    <t>As a result, …</t>
  </si>
  <si>
    <t>上学期他学习很用功，结果考试及格了。</t>
  </si>
  <si>
    <t>He studied hard last term and, as a result, he passed the examination.</t>
  </si>
  <si>
    <t>4.09.5</t>
  </si>
  <si>
    <t>上 #</t>
  </si>
  <si>
    <t>shàng #</t>
  </si>
  <si>
    <t>这个城市的地铁已经有上百年的历史了。</t>
  </si>
  <si>
    <t>The city's subway has been around for over a hundred years.</t>
  </si>
  <si>
    <t>https://chinesezerotohero.teachable.com/courses/292789/lectures/4505656</t>
  </si>
  <si>
    <t>4.10.1</t>
  </si>
  <si>
    <t>不过</t>
  </si>
  <si>
    <t>bùguò</t>
  </si>
  <si>
    <t>nevertheless</t>
  </si>
  <si>
    <t>我本来想当律师，不过后来我发现自己对新闻更感兴趣。</t>
  </si>
  <si>
    <t>I originally wanted to be a lawyer, nevertheless I found myself more interested in news.</t>
  </si>
  <si>
    <t>https://chinesezerotohero.teachable.com/courses/292789/lectures/4505670</t>
  </si>
  <si>
    <t>不过 V</t>
  </si>
  <si>
    <t>bùguò V</t>
  </si>
  <si>
    <t>only V</t>
  </si>
  <si>
    <t>我们不过谈了点儿工作方面的问题，别的都没谈。</t>
  </si>
  <si>
    <t>We only talked about some work problems (and nothing more), and we didn’t talk about anything else.</t>
  </si>
  <si>
    <t>4.10.2</t>
  </si>
  <si>
    <t>确实</t>
  </si>
  <si>
    <t>quèshí</t>
  </si>
  <si>
    <t>indeed</t>
  </si>
  <si>
    <t>爱情确实是结婚的重要原因，但仅有爱情是不够的。</t>
  </si>
  <si>
    <t>Love is indeed an important reason for marriage, but only love is not enough.</t>
  </si>
  <si>
    <t>https://chinesezerotohero.teachable.com/courses/292789/lectures/4505683</t>
  </si>
  <si>
    <t>4.10.3</t>
  </si>
  <si>
    <t>在 S 看来</t>
  </si>
  <si>
    <t>zài S kànlai</t>
  </si>
  <si>
    <t>the way S see it</t>
  </si>
  <si>
    <t>在很多人看来，听流行音乐仅仅是年轻人的爱好。</t>
  </si>
  <si>
    <t>The way a lot of people sees it [is that] listening to pop music is only a hobby of young people.</t>
  </si>
  <si>
    <t>https://chinesezerotohero.teachable.com/courses/292789/lectures/4505671</t>
  </si>
  <si>
    <t>4.10.4</t>
  </si>
  <si>
    <t>由于……</t>
  </si>
  <si>
    <t>yóuyú……</t>
  </si>
  <si>
    <t>because …</t>
  </si>
  <si>
    <t>由于我们的共同努力，任务提前完成了。</t>
  </si>
  <si>
    <t>Owing to our joint efforts, the task was fulfilled ahead of schedule.</t>
  </si>
  <si>
    <t>https://chinesezerotohero.teachable.com/courses/292789/lectures/4505673</t>
  </si>
  <si>
    <t>由于 N</t>
  </si>
  <si>
    <t>yóuyú N</t>
  </si>
  <si>
    <t>due to N</t>
  </si>
  <si>
    <t>由于种种原因，我们不得不改变原来的计划。</t>
  </si>
  <si>
    <t>For various reasons, we had to change the original plan.</t>
  </si>
  <si>
    <t>4.10.5</t>
  </si>
  <si>
    <t>比如……</t>
  </si>
  <si>
    <t>bǐrú……</t>
  </si>
  <si>
    <t>for example, ……</t>
  </si>
  <si>
    <t>旅游前最好做个计划，比如要去几个地方，怎么坐车等。</t>
  </si>
  <si>
    <t>It is best to make a plan before the trip, for example, how many places to go to, how to take transit, etc.</t>
  </si>
  <si>
    <t>https://chinesezerotohero.teachable.com/courses/292789/lectures/4505672</t>
  </si>
  <si>
    <t>4.11.1</t>
  </si>
  <si>
    <t>连 O 也/都 V</t>
  </si>
  <si>
    <t>lián O yě/ dōu V</t>
  </si>
  <si>
    <t>even V O</t>
  </si>
  <si>
    <t>你太厉害了，连中文报纸都看得懂。</t>
  </si>
  <si>
    <t>You are so awesome/skilled you can even understand Chinese newspapers.</t>
  </si>
  <si>
    <t>https://chinesezerotohero.teachable.com/courses/299571/lectures/4606432</t>
  </si>
  <si>
    <t>连 S 也/都 V</t>
  </si>
  <si>
    <t>lián S yě/ dōu V</t>
  </si>
  <si>
    <t>even S V</t>
  </si>
  <si>
    <t>如果连你自己都不喜欢自己，又怎么能让别人喜欢你呢？</t>
  </si>
  <si>
    <t>If even you don’t like yourself, how can you let others like you?</t>
  </si>
  <si>
    <t>4.11.2</t>
  </si>
  <si>
    <t>否则</t>
  </si>
  <si>
    <t>fǒuzé</t>
  </si>
  <si>
    <t>if not, otherwise</t>
  </si>
  <si>
    <t>他一定有重要的事找你，否则不会打这么多次电话来。</t>
  </si>
  <si>
    <t>He must have something important to see (lit. look for) you about, otherwise he won't call so many times.</t>
  </si>
  <si>
    <t>https://chinesezerotohero.teachable.com/courses/299571/lectures/4606436</t>
  </si>
  <si>
    <t>4.11.3</t>
  </si>
  <si>
    <t>无论/不管 Q 都</t>
  </si>
  <si>
    <t>wúlùn/ bùguǎn Q dōu</t>
  </si>
  <si>
    <t>regardless of Q</t>
  </si>
  <si>
    <t>无论/不管做什么事都要注意方法，正确的方法可以让我们做得更好。</t>
  </si>
  <si>
    <t>Regardless of what you do, choose the right [lit. pay attention to] your methods. The right way can make us do better.</t>
  </si>
  <si>
    <t>https://chinesezerotohero.teachable.com/courses/299571/lectures/4606434</t>
  </si>
  <si>
    <t>4.11.4</t>
  </si>
  <si>
    <t>然而</t>
  </si>
  <si>
    <t>rán'ér</t>
  </si>
  <si>
    <t>很多人觉得自己的生活是幸福的， 然而每个人对幸福的看法却不完全相同。</t>
  </si>
  <si>
    <t>Many people feel that their lives are happy, but everyone's views on happiness are not exactly the same.</t>
  </si>
  <si>
    <t>https://chinesezerotohero.teachable.com/courses/299571/lectures/4606433</t>
  </si>
  <si>
    <t>4.11.5</t>
  </si>
  <si>
    <t>同时……</t>
  </si>
  <si>
    <t>tóngshí……</t>
  </si>
  <si>
    <t>at the same time, …</t>
  </si>
  <si>
    <t>阅读能丰富你的知识，同时还会丰富你的情感。</t>
  </si>
  <si>
    <t>Reading can enrich your knowledge and (at the same time) [it will] enrich your affects.</t>
  </si>
  <si>
    <t>https://chinesezerotohero.teachable.com/courses/299571/lectures/4606435</t>
  </si>
  <si>
    <t>……的同时</t>
  </si>
  <si>
    <t>…… de tóngshí</t>
  </si>
  <si>
    <t>at the same time when…</t>
  </si>
  <si>
    <t>在学习汉语的同时，我还了解了中国的文化。</t>
  </si>
  <si>
    <t>While learning Chinese (at the same time), I also learned about Chinese culture.</t>
  </si>
  <si>
    <t>4.12.1</t>
  </si>
  <si>
    <t>并/并且 V</t>
  </si>
  <si>
    <t>bìng/ bìngqiě V</t>
  </si>
  <si>
    <t>and V</t>
  </si>
  <si>
    <t>他做事很认真，并且有丰富的经验，让他负责很合适。</t>
  </si>
  <si>
    <t>He is very serious in his work and has a wealth of experience, which makes him very suitable to be responsible [for this].</t>
  </si>
  <si>
    <t>https://chinesezerotohero.teachable.com/courses/299571/lectures/4606454</t>
  </si>
  <si>
    <t>4.12.2</t>
  </si>
  <si>
    <t>再……也......</t>
  </si>
  <si>
    <t>zài…… yě......</t>
  </si>
  <si>
    <t>no matter how… still…</t>
  </si>
  <si>
    <t>事情已经发生了，你再后悔也无法改变，别伤心了。</t>
  </si>
  <si>
    <t>Things have already happened, no matter how you regret it you (still) won’t be able to change it, don't be sad.</t>
  </si>
  <si>
    <t>https://chinesezerotohero.teachable.com/courses/299571/lectures/4606464</t>
  </si>
  <si>
    <t>4.12.3</t>
  </si>
  <si>
    <t>对于 N</t>
  </si>
  <si>
    <t>duìyú N</t>
  </si>
  <si>
    <t>regarding N</t>
  </si>
  <si>
    <t>对于这件事， 我跟大家的看法不同。</t>
  </si>
  <si>
    <t>My opinion on it (lit. regarding this matter) is different from everyone else’s.</t>
  </si>
  <si>
    <t>https://chinesezerotohero.teachable.com/courses/299571/lectures/4606457</t>
  </si>
  <si>
    <t>关于 N</t>
  </si>
  <si>
    <t>guānyú N</t>
  </si>
  <si>
    <t>about N</t>
  </si>
  <si>
    <t>关于这次调查计划，经理说有很多不清楚的地方。</t>
  </si>
  <si>
    <t>About the survey plan, the manager said that there are many unclear places.</t>
  </si>
  <si>
    <t>4.12.4</t>
  </si>
  <si>
    <t>M + M + (N) + 都</t>
  </si>
  <si>
    <t>M + M + (N) + dōu</t>
  </si>
  <si>
    <t>件件小事都应该被看成是一次学习的机会。</t>
  </si>
  <si>
    <t>Each small thing should (all) be seen as an opportunity to learn.</t>
  </si>
  <si>
    <t>https://chinesezerotohero.teachable.com/courses/299571/lectures/4606455</t>
  </si>
  <si>
    <t>4.12.5</t>
  </si>
  <si>
    <t>相反，……</t>
  </si>
  <si>
    <t>xiāngfǎn，……</t>
  </si>
  <si>
    <t>on the other hand, …</t>
  </si>
  <si>
    <t>使用正确的方法就能“事半功倍”，相反就会“事倍功半”。</t>
  </si>
  <si>
    <t>Using the right method will be able to “do more with less”, but if we do the opposite we will “do less with more”.</t>
  </si>
  <si>
    <t>https://chinesezerotohero.teachable.com/courses/299571/lectures/4606456</t>
  </si>
  <si>
    <t>和/跟 N 相反</t>
  </si>
  <si>
    <t>hé/ gēn N xiāngfǎn</t>
  </si>
  <si>
    <t>to be the opposite of N</t>
  </si>
  <si>
    <t>调查结果和他们想的几乎完全相反。</t>
  </si>
  <si>
    <t>The results of the survey are almost completely the opposite of what they thought.</t>
  </si>
  <si>
    <t>4.13.1</t>
  </si>
  <si>
    <t>大概/也许 V/A</t>
  </si>
  <si>
    <t>dàgài/ yěxǔ V/A</t>
  </si>
  <si>
    <t>probably/perhaps V/A</t>
  </si>
  <si>
    <t>我想校长大概/也许会同意。</t>
  </si>
  <si>
    <t>I think the principal probably will agree.</t>
  </si>
  <si>
    <t>https://chinesezerotohero.teachable.com/courses/299571/lectures/4606474</t>
  </si>
  <si>
    <t>大概的 N</t>
  </si>
  <si>
    <t>dàgài de N</t>
  </si>
  <si>
    <t>approximate N</t>
  </si>
  <si>
    <t>请给我一个大概的数字。</t>
  </si>
  <si>
    <t>Please give me an approximate number.</t>
  </si>
  <si>
    <t>大概 #</t>
  </si>
  <si>
    <t>dàgài #</t>
  </si>
  <si>
    <t>他8岁就开始上台演出，到现在大概唱了60多年了。</t>
  </si>
  <si>
    <t>He started performing on stage at the age of eight, and has been singing for about over 60 years.</t>
  </si>
  <si>
    <t>4.13.2</t>
  </si>
  <si>
    <t>偶尔</t>
  </si>
  <si>
    <t>ǒu'ěr</t>
  </si>
  <si>
    <t>occasionally</t>
  </si>
  <si>
    <t>我常常跟着电视学唱京剧，偶尔跟中国人一起唱上几句。</t>
  </si>
  <si>
    <t>I often learn to sing Beijing opera with [lit. by following] TV programs, and occasionally sing a few lines with Chinese people.</t>
  </si>
  <si>
    <t>https://chinesezerotohero.teachable.com/courses/299571/lectures/4606472</t>
  </si>
  <si>
    <t>4.13.3</t>
  </si>
  <si>
    <t>由 S V</t>
  </si>
  <si>
    <t>yóu S V</t>
  </si>
  <si>
    <t>V’ed by S</t>
  </si>
  <si>
    <t>按照规定，这件事情应该由王大夫负责。</t>
  </si>
  <si>
    <t>According to regulations, this matter should be handled by Dr. Wang.</t>
  </si>
  <si>
    <t>https://chinesezerotohero.teachable.com/courses/299571/lectures/4606471</t>
  </si>
  <si>
    <t>4.13.4</t>
  </si>
  <si>
    <t>进行</t>
  </si>
  <si>
    <t>jìnxíng</t>
  </si>
  <si>
    <t>to proceed</t>
  </si>
  <si>
    <t>10点30分会议继续进行。</t>
  </si>
  <si>
    <t>The meeting will continue to proceed at half past 10.</t>
  </si>
  <si>
    <t>https://chinesezerotohero.teachable.com/courses/299571/lectures/4606476</t>
  </si>
  <si>
    <t>进行 O</t>
  </si>
  <si>
    <t>jìnxíng O</t>
  </si>
  <si>
    <t>to carry out O</t>
  </si>
  <si>
    <t>进行观察</t>
  </si>
  <si>
    <t>carry out an observation</t>
  </si>
  <si>
    <t>4.13.5</t>
  </si>
  <si>
    <t>随着 N</t>
  </si>
  <si>
    <t>suízhe N</t>
  </si>
  <si>
    <t>with N (as N happens)</t>
  </si>
  <si>
    <t>随着社会的发展，京剧也在改变。</t>
  </si>
  <si>
    <t>With the development of society, Peking Opera is also changing.</t>
  </si>
  <si>
    <t>https://chinesezerotohero.teachable.com/courses/299571/lectures/4606473</t>
  </si>
  <si>
    <t>4.14.1</t>
  </si>
  <si>
    <t>够</t>
  </si>
  <si>
    <t>gòu</t>
  </si>
  <si>
    <t>sufficient</t>
  </si>
  <si>
    <t>钱不够。</t>
  </si>
  <si>
    <t>The money is not enough.</t>
  </si>
  <si>
    <t>https://chinesezerotohero.teachable.com/courses/299571/lectures/4606491</t>
  </si>
  <si>
    <t>V 够 (#)</t>
  </si>
  <si>
    <t>V gòu (#)</t>
  </si>
  <si>
    <t>V (and fulfill) #</t>
  </si>
  <si>
    <t>睡觉时间太长并不好，一般睡够八小时就可以了。</t>
  </si>
  <si>
    <t>It’s not good if [your] sleeping time is too long. Usually it’s enough just to sleep for a good eight hours (lit. sleep to fulfill 8 hours).</t>
  </si>
  <si>
    <t>够 A</t>
  </si>
  <si>
    <t>gòu A</t>
  </si>
  <si>
    <t>(good) enough</t>
  </si>
  <si>
    <t>不用装这些，箱子已经够重的了！</t>
  </si>
  <si>
    <t>No need to load these, the box is already heavy enough!</t>
  </si>
  <si>
    <t>4.14.2</t>
  </si>
  <si>
    <t>以 N</t>
  </si>
  <si>
    <t>yǐ N</t>
  </si>
  <si>
    <t>with N (speed, standard)</t>
  </si>
  <si>
    <t>经理您放心，我一定以最快的速度完成。</t>
  </si>
  <si>
    <t>Manager, you can rest assured that I will finish at the fastest speed.</t>
  </si>
  <si>
    <t>https://chinesezerotohero.teachable.com/courses/299571/lectures/4606502</t>
  </si>
  <si>
    <t>以 N1 为 N2</t>
  </si>
  <si>
    <t>yǐ N1 wéi N2</t>
  </si>
  <si>
    <t>consider N1 as N2</t>
  </si>
  <si>
    <t>我们应该以历史为镜子。</t>
  </si>
  <si>
    <t>We should use history as a mirror.</t>
  </si>
  <si>
    <t>以</t>
  </si>
  <si>
    <t>yǐ</t>
  </si>
  <si>
    <t>in order to</t>
  </si>
  <si>
    <t>她送来了一份礼物以表示感谢。</t>
  </si>
  <si>
    <t>She sent a gift to express her gratitude.</t>
  </si>
  <si>
    <t>4.14.3</t>
  </si>
  <si>
    <t>既然</t>
  </si>
  <si>
    <t>jìrán</t>
  </si>
  <si>
    <t>now that</t>
  </si>
  <si>
    <t>你既然不愿意打球，为什么还要打？</t>
  </si>
  <si>
    <t>Since you don't want to play, why [bother] playing?</t>
  </si>
  <si>
    <t>https://chinesezerotohero.teachable.com/courses/299571/lectures/4606493</t>
  </si>
  <si>
    <t>4.14.4</t>
  </si>
  <si>
    <t>于是……</t>
  </si>
  <si>
    <t>yúshì……</t>
  </si>
  <si>
    <t>consequently…</t>
  </si>
  <si>
    <t>小时候，他经常生病，于是每天都去跑步锻炼身体。</t>
  </si>
  <si>
    <t>When he was a child, he was often ill, consequently he went to run and exercise every day.</t>
  </si>
  <si>
    <t>https://chinesezerotohero.teachable.com/courses/299571/lectures/4606495</t>
  </si>
  <si>
    <t>因此……</t>
  </si>
  <si>
    <t>yīncǐ……</t>
  </si>
  <si>
    <t>therefore…</t>
  </si>
  <si>
    <t>小时候，他经常生病，因此每天都去跑步锻炼身体。</t>
  </si>
  <si>
    <t>When he was a child, he was often ill, [and] as a result he went to run and exercise every day.</t>
  </si>
  <si>
    <t>4.14.5</t>
  </si>
  <si>
    <t>什么的</t>
  </si>
  <si>
    <t>shénmede</t>
  </si>
  <si>
    <t>and stuff like that</t>
  </si>
  <si>
    <t>明天出去玩儿，得买点儿饼干、面包什么的。</t>
  </si>
  <si>
    <t>Go out to play tomorrow, you have to buy some biscuits, bread or things like that.</t>
  </si>
  <si>
    <t>https://chinesezerotohero.teachable.com/courses/299571/lectures/4606492</t>
  </si>
  <si>
    <t>4.15.1</t>
  </si>
  <si>
    <t>V 起来</t>
  </si>
  <si>
    <t>V qilai</t>
  </si>
  <si>
    <t>V up</t>
  </si>
  <si>
    <t>你这样躺着看书对眼晴不好，快坐起来！</t>
  </si>
  <si>
    <t>If you lie down and read a book, it is not good for your eyes. Sit up quick!</t>
  </si>
  <si>
    <t>https://chinesezerotohero.teachable.com/courses/299571/lectures/4606516</t>
  </si>
  <si>
    <t>remember, call to mind</t>
  </si>
  <si>
    <t>现在我全都想起来了。</t>
  </si>
  <si>
    <t>Now I recall (lit. think up) everything.</t>
  </si>
  <si>
    <t>4.15.2</t>
  </si>
  <si>
    <t>弄 A O</t>
  </si>
  <si>
    <t>nòng A O</t>
  </si>
  <si>
    <t>cause O to be A</t>
  </si>
  <si>
    <t>搬的时候要小心点儿，别弄坏沙发了。</t>
  </si>
  <si>
    <t>Be careful when moving, don't break the sofa.</t>
  </si>
  <si>
    <t>https://chinesezerotohero.teachable.com/courses/299571/lectures/4606508</t>
  </si>
  <si>
    <t>弄得 O CLAUSE</t>
  </si>
  <si>
    <t>nòng dé O CLAUSE</t>
  </si>
  <si>
    <t>make O CLAUSE</t>
  </si>
  <si>
    <t>每天因为这些小事批评她，弄得我俩心情都不好。</t>
  </si>
  <si>
    <t>Every day I tell her off for these small things, [which] makes the two of us both in a bad mood.</t>
  </si>
  <si>
    <t>4.15.3</t>
  </si>
  <si>
    <t>千万不能/不要/别 V</t>
  </si>
  <si>
    <t>qiānwàn bùnéng/ bùyào/ bié V</t>
  </si>
  <si>
    <t>make sure not to V</t>
  </si>
  <si>
    <t>我要等她生日那天再送给她这个礼物，你现在千万别告诉她。</t>
  </si>
  <si>
    <t>I have to give her this gift on her birthday, make sure you don’t tell her now.</t>
  </si>
  <si>
    <t>https://chinesezerotohero.teachable.com/courses/299571/lectures/4606509</t>
  </si>
  <si>
    <t>一定要/得 V/A</t>
  </si>
  <si>
    <t>yīdìngyào/ dé V/A</t>
  </si>
  <si>
    <t>must V, must be A</t>
  </si>
  <si>
    <t>比赛前一定要把动作练好。</t>
  </si>
  <si>
    <t>You must practice your moves before the game.</t>
  </si>
  <si>
    <t>一定(会) V/A</t>
  </si>
  <si>
    <t>yīdìng( huì) V/A</t>
  </si>
  <si>
    <t>definitely V/A</t>
  </si>
  <si>
    <t>感谢您的支持和鼓励，我一定会继续努力。</t>
  </si>
  <si>
    <t>Thank you for your support and encouragement, I will definitely continue to work hard.</t>
  </si>
  <si>
    <t>不一定</t>
  </si>
  <si>
    <t>bùyīdìng</t>
  </si>
  <si>
    <t>not necessarily</t>
  </si>
  <si>
    <t>个子高不一定力气大。</t>
  </si>
  <si>
    <t>If someone is tall he/she is not necessarily strong.</t>
  </si>
  <si>
    <t>一定的</t>
  </si>
  <si>
    <t>yīdìng de</t>
  </si>
  <si>
    <t>some, a certain</t>
  </si>
  <si>
    <t>如果有一定的语言基础，那么出国学习外语是最好的选择。</t>
  </si>
  <si>
    <t>If you have a certain language foundation, then studying a foreign language abroad is the best choice.</t>
  </si>
  <si>
    <t>4.15.4</t>
  </si>
  <si>
    <t>来 V</t>
  </si>
  <si>
    <t>lái V</t>
  </si>
  <si>
    <t>(verb prefix, indicating the verb hasn’t happened)</t>
  </si>
  <si>
    <t>这个沙发这么大，我来帮你们一起抬。</t>
  </si>
  <si>
    <t>This sofa is so big, I will help you carry it together.</t>
  </si>
  <si>
    <t>https://chinesezerotohero.teachable.com/courses/299571/lectures/4606510</t>
  </si>
  <si>
    <t>通过/用 N 来 V</t>
  </si>
  <si>
    <t>tōngguò/ yòng N lái V</t>
  </si>
  <si>
    <t>V through N</t>
  </si>
  <si>
    <t>有的孩子会通过哭或者扔东西来引起父母的注意。</t>
  </si>
  <si>
    <t>Some children will get their parents' attention by crying or throwing things.</t>
  </si>
  <si>
    <t>4.15.5</t>
  </si>
  <si>
    <t>around #</t>
  </si>
  <si>
    <t>网上买的那本书估计三天左右就能到。</t>
  </si>
  <si>
    <t>The book bought online is estimated to be available in about three days.</t>
  </si>
  <si>
    <t>https://chinesezerotohero.teachable.com/courses/299571/lectures/4606511</t>
  </si>
  <si>
    <t>4.16.1</t>
  </si>
  <si>
    <t>可 V/A 了</t>
  </si>
  <si>
    <t>kě V/A le</t>
  </si>
  <si>
    <t>really A/V</t>
  </si>
  <si>
    <t>今天天气可热了。</t>
  </si>
  <si>
    <t>The weather is really hot today.</t>
  </si>
  <si>
    <t>https://chinesezerotohero.teachable.com/courses/301751/lectures/4834116</t>
  </si>
  <si>
    <t>可 Q</t>
  </si>
  <si>
    <t>kě Q</t>
  </si>
  <si>
    <t>Q on earth?</t>
  </si>
  <si>
    <t>下个星期就要去使馆办签证了，这可怎么办？</t>
  </si>
  <si>
    <t>I am going to the embassy to apply for a visa next week, what on earth am I supposed to do?</t>
  </si>
  <si>
    <t>可 V</t>
  </si>
  <si>
    <t>kě V</t>
  </si>
  <si>
    <t>这可是个大问题，我也不太清楚。</t>
  </si>
  <si>
    <t>Now this (this indeed) is a big question, and I am not too sure about it.</t>
  </si>
  <si>
    <t>4.16.2</t>
  </si>
  <si>
    <t>怕/害怕</t>
  </si>
  <si>
    <t>pà/ hàipà</t>
  </si>
  <si>
    <t>to be afraid</t>
  </si>
  <si>
    <t>我的工作经验还比较少，那份工作我怕/害怕完成不了。</t>
  </si>
  <si>
    <t>My work experience is still relatively small, I am afraid the job cannot be completed.</t>
  </si>
  <si>
    <t>https://chinesezerotohero.teachable.com/courses/301751/lectures/4834117</t>
  </si>
  <si>
    <t>恐怕……</t>
  </si>
  <si>
    <t>kǒngpà……</t>
  </si>
  <si>
    <t>I guess I’m afraid…</t>
  </si>
  <si>
    <t>听完我的回答，恐怕你已经知道我的答案了吧。</t>
  </si>
  <si>
    <t>After listening to my response, I guess I’m afraid you already know the answer.</t>
  </si>
  <si>
    <t>怕/恐怕 V</t>
  </si>
  <si>
    <t>pà/ kǒngpà V</t>
  </si>
  <si>
    <t>probably I’m afraid</t>
  </si>
  <si>
    <t>他离开这里怕/恐怕有二十天了。</t>
  </si>
  <si>
    <t>He left here for probably 20 days (I’m afraid).</t>
  </si>
  <si>
    <t>4.16.3</t>
  </si>
  <si>
    <t>到底</t>
  </si>
  <si>
    <t>dàodǐ</t>
  </si>
  <si>
    <t>to the end</t>
  </si>
  <si>
    <t>今天我一定陪你逛街逛到底，保证让你买到合适的衣服。</t>
  </si>
  <si>
    <t>Today I will go shopping with you to the end. [I can] guarantee that you will buy the right clothes.</t>
  </si>
  <si>
    <t>https://chinesezerotohero.teachable.com/courses/301751/lectures/4834119</t>
  </si>
  <si>
    <t>到底 Q</t>
  </si>
  <si>
    <t>dàodǐ Q</t>
  </si>
  <si>
    <t>in the world</t>
  </si>
  <si>
    <t>到底你怎么打算的呀？</t>
  </si>
  <si>
    <t>What in the world are you planning?</t>
  </si>
  <si>
    <t>4.16.4</t>
  </si>
  <si>
    <t>拿……来说</t>
  </si>
  <si>
    <t>ná…… láishuō</t>
  </si>
  <si>
    <t>take… for example</t>
  </si>
  <si>
    <t>拿我来说，我已经学了十年汉语了。</t>
  </si>
  <si>
    <t>Take me, for example, I’ve been learning Chinese for 10 years.</t>
  </si>
  <si>
    <t>https://chinesezerotohero.teachable.com/courses/301751/lectures/4834118</t>
  </si>
  <si>
    <t>4.16.5</t>
  </si>
  <si>
    <t>敢 V</t>
  </si>
  <si>
    <t>gǎn V</t>
  </si>
  <si>
    <t>to dare to V</t>
  </si>
  <si>
    <t>谁也不敢说他的坏话。</t>
  </si>
  <si>
    <t>No one dares to say bad things about her.</t>
  </si>
  <si>
    <t>https://chinesezerotohero.teachable.com/courses/301751/lectures/4834121</t>
  </si>
  <si>
    <t>4.17.1</t>
  </si>
  <si>
    <t>倒</t>
  </si>
  <si>
    <t>dǎo</t>
  </si>
  <si>
    <t>to pour</t>
  </si>
  <si>
    <t>我给你倒杯水吧。</t>
  </si>
  <si>
    <t>I will pour you a glass of water.</t>
  </si>
  <si>
    <t>https://chinesezerotohero.teachable.com/courses/301751/lectures/4834143</t>
  </si>
  <si>
    <t>to reverse</t>
  </si>
  <si>
    <t>“我爱你”，倒过来就是“你爱我”。</t>
  </si>
  <si>
    <t>“I love you” said in reverse is “you love me.”</t>
  </si>
  <si>
    <t>S 倒 V</t>
  </si>
  <si>
    <t>S dǎo V</t>
  </si>
  <si>
    <t>although S V</t>
  </si>
  <si>
    <t>你说得倒是容易，做起来可就难了！</t>
  </si>
  <si>
    <t>Although you say [it as if] it is easy, it’s hard to do it!</t>
  </si>
  <si>
    <t>4.17.2</t>
  </si>
  <si>
    <t>干 (gān)</t>
  </si>
  <si>
    <t>gàn (gān)</t>
  </si>
  <si>
    <t>dry</t>
  </si>
  <si>
    <t>把头发擦干。</t>
  </si>
  <si>
    <t>Wipe your hair dry.</t>
  </si>
  <si>
    <t>https://chinesezerotohero.teachable.com/courses/301751/lectures/4834142</t>
  </si>
  <si>
    <t>干 (gàn)</t>
  </si>
  <si>
    <t>gàn (gàn)</t>
  </si>
  <si>
    <t>to do</t>
  </si>
  <si>
    <t>你在干什么呢？</t>
  </si>
  <si>
    <t>What are you doing?</t>
  </si>
  <si>
    <t>4.17.3</t>
  </si>
  <si>
    <t># 趟</t>
  </si>
  <si>
    <t># tàng</t>
  </si>
  <si>
    <t># times (of trips)</t>
  </si>
  <si>
    <t>回来的路上我顺便去了趟银行。</t>
  </si>
  <si>
    <t>On the way back, I made a visit to the bank along the way.</t>
  </si>
  <si>
    <t>https://chinesezerotohero.teachable.com/courses/301751/lectures/4834144</t>
  </si>
  <si>
    <t># 次</t>
  </si>
  <si>
    <t># cì</t>
  </si>
  <si>
    <t>No. # (bus/train route)</t>
  </si>
  <si>
    <t>502次公交车很快就要到了。</t>
  </si>
  <si>
    <t>Bus No. 502 are coming soon.</t>
  </si>
  <si>
    <t>4.17.4</t>
  </si>
  <si>
    <t>为了 V1 而 V2</t>
  </si>
  <si>
    <t>wèile V1 ér V2</t>
  </si>
  <si>
    <t>V2 in order to V1</t>
  </si>
  <si>
    <t>不少动物为了保护自己而改变身体的颜色。</t>
  </si>
  <si>
    <t>Many animals change the color of their body in order to protect themselves.</t>
  </si>
  <si>
    <t>https://chinesezerotohero.teachable.com/courses/301751/lectures/4834145</t>
  </si>
  <si>
    <t>为了 N 而 V</t>
  </si>
  <si>
    <t>wèile N ér V</t>
  </si>
  <si>
    <t>V for N</t>
  </si>
  <si>
    <t>植物会为了阳光、空气和水而竞争。</t>
  </si>
  <si>
    <t>Plants compete for sunlight, air, and water.</t>
  </si>
  <si>
    <t>4.17.5</t>
  </si>
  <si>
    <t>仍然 V/A</t>
  </si>
  <si>
    <t>réngrán V/A</t>
  </si>
  <si>
    <t>still V/A</t>
  </si>
  <si>
    <t>就算在几公里深的海底也仍然能看到东西。</t>
  </si>
  <si>
    <t>Even at a few kilometers deep on the sea floor, you can still see things.</t>
  </si>
  <si>
    <t>https://chinesezerotohero.teachable.com/courses/301751/lectures/4834146</t>
  </si>
  <si>
    <t>4.18.1</t>
  </si>
  <si>
    <t>是否</t>
  </si>
  <si>
    <t>shìfǒu</t>
  </si>
  <si>
    <t>if, whether</t>
  </si>
  <si>
    <t>不过她这么小，这本书我不知道她是否能读懂。</t>
  </si>
  <si>
    <t>But she is so young, I don't know if she can read this book.</t>
  </si>
  <si>
    <t>https://chinesezerotohero.teachable.com/courses/301751/lectures/4852498</t>
  </si>
  <si>
    <t>4.18.2</t>
  </si>
  <si>
    <t>受不了</t>
  </si>
  <si>
    <t>shòubùliǎo</t>
  </si>
  <si>
    <t>tolerate</t>
  </si>
  <si>
    <t>我真的受不了你了，你到底还要逛多久？</t>
  </si>
  <si>
    <t>I really can't tolerate you, how long do you have to keep shopping?</t>
  </si>
  <si>
    <t>https://chinesezerotohero.teachable.com/courses/301751/lectures/4852499</t>
  </si>
  <si>
    <t>4.18.3</t>
  </si>
  <si>
    <t>接着 V</t>
  </si>
  <si>
    <t>jiēzhe V</t>
  </si>
  <si>
    <t>continue to V</t>
  </si>
  <si>
    <t>你看完这本书以后先不要还，我接着看。</t>
  </si>
  <si>
    <t>Don't pay back after reading this book, I will continue to watch.</t>
  </si>
  <si>
    <t>https://chinesezerotohero.teachable.com/courses/301751/lectures/4852506</t>
  </si>
  <si>
    <t>接着</t>
  </si>
  <si>
    <t>jiēzhe</t>
  </si>
  <si>
    <t>他毕业后在老家工作了一年，接着又考上了北京大学，读研究生。</t>
  </si>
  <si>
    <t>After graduating, he worked in his hometown for a year. And then he was admitted to Peking University to study for graduate students.</t>
  </si>
  <si>
    <t>4.18.4</t>
  </si>
  <si>
    <t>除此以外</t>
  </si>
  <si>
    <t>chú cǐ yǐwài</t>
  </si>
  <si>
    <t>other than that</t>
  </si>
  <si>
    <t>他和弟弟同一天出生，兄弟俩长得很像，但除此以外几乎再找不到其他共同点。</t>
  </si>
  <si>
    <t>He and his brother were born on the same day. The two brothers look very much alike, but other than that they can hardly find other things in common.</t>
  </si>
  <si>
    <t>https://chinesezerotohero.teachable.com/courses/301751/lectures/4852501</t>
  </si>
  <si>
    <t>4.18.5</t>
  </si>
  <si>
    <t>把 N1 叫作 N2</t>
  </si>
  <si>
    <t>bǎ N1 jiàozuò N2</t>
  </si>
  <si>
    <t>call N1 N2</t>
  </si>
  <si>
    <t>中国人把黄河叫作“母亲河” 。</t>
  </si>
  <si>
    <t>The Chinese call the Yellow River "Mother River."</t>
  </si>
  <si>
    <t>https://chinesezerotohero.teachable.com/courses/301751/lectures/4852500</t>
  </si>
  <si>
    <t>4.19.1</t>
  </si>
  <si>
    <t>(无论/不管) Q 都</t>
  </si>
  <si>
    <t>( wúlùn/ bùguǎn) Q dōu</t>
  </si>
  <si>
    <t>no matter Q</t>
  </si>
  <si>
    <t>没关系，不用道歉，(无论/不管) 谁都有粗心填错的时候。</t>
  </si>
  <si>
    <t>It doesn't matter, don't apologize, anyone (lit. no matter who) can make a mistake.</t>
  </si>
  <si>
    <t>https://chinesezerotohero.teachable.com/courses/301751/lectures/4852513</t>
  </si>
  <si>
    <t>4.19.2</t>
  </si>
  <si>
    <t>V 上</t>
  </si>
  <si>
    <t>V shàng</t>
  </si>
  <si>
    <t>get to V</t>
  </si>
  <si>
    <t>看来今天吃不上羊肉饺子了。</t>
  </si>
  <si>
    <t>It seems that I don’t get to eat lamb dumplings today.</t>
  </si>
  <si>
    <t>https://chinesezerotohero.teachable.com/courses/301751/lectures/4852514</t>
  </si>
  <si>
    <t>4.19.3</t>
  </si>
  <si>
    <t>V 出来</t>
  </si>
  <si>
    <t>V chūlái</t>
  </si>
  <si>
    <t>V out (an outcome is produced)</t>
  </si>
  <si>
    <t>有几个选择题，实在想不出来该选哪个，只好随便选一个。</t>
  </si>
  <si>
    <t>There were a few multiple-choice questions. I really couldn’t think of (lit. think out) which [answer] one to choose, [so I could only] choose one at random.</t>
  </si>
  <si>
    <t>https://chinesezerotohero.teachable.com/courses/301751/lectures/4852516</t>
  </si>
  <si>
    <t>4.19.4</t>
  </si>
  <si>
    <t>总的来说</t>
  </si>
  <si>
    <t>zǒngdeláishuō</t>
  </si>
  <si>
    <t>overall</t>
  </si>
  <si>
    <t>这个公司总的来说还不错。</t>
  </si>
  <si>
    <t>Overall, this company is good.</t>
  </si>
  <si>
    <t>https://chinesezerotohero.teachable.com/courses/301751/lectures/4852515</t>
  </si>
  <si>
    <t>4.19.5</t>
  </si>
  <si>
    <t>在于</t>
  </si>
  <si>
    <t>zàiyú</t>
  </si>
  <si>
    <t>is all about</t>
  </si>
  <si>
    <t>人们常说“生命在于运动”。</t>
  </si>
  <si>
    <t>People often say that "life is all about moving/exercising.”</t>
  </si>
  <si>
    <t>https://chinesezerotohero.teachable.com/courses/301751/lectures/4852518</t>
  </si>
  <si>
    <t>4.20.1</t>
  </si>
  <si>
    <t>V1 着 V1 着 V2了</t>
  </si>
  <si>
    <t>V1 zhe V1 zhe V2 le</t>
  </si>
  <si>
    <t>V2’ed while V1-ing</t>
  </si>
  <si>
    <t>她讲着讲着就笑了。</t>
  </si>
  <si>
    <t>As she was speaking, she started to laugh.</t>
  </si>
  <si>
    <t>https://chinesezerotohero.teachable.com/courses/301751/lectures/4852541</t>
  </si>
  <si>
    <t>4.20.2</t>
  </si>
  <si>
    <t>一……就……</t>
  </si>
  <si>
    <t>yī…… jiù……</t>
  </si>
  <si>
    <t>as soon as … then …</t>
  </si>
  <si>
    <t>她一回家就看电视。</t>
  </si>
  <si>
    <t>As soon as she gets home, (then) she watches TV.</t>
  </si>
  <si>
    <t>https://chinesezerotohero.teachable.com/courses/301751/lectures/4852539</t>
  </si>
  <si>
    <t>每次只要</t>
  </si>
  <si>
    <t>儿子小时候一说话就脸红。</t>
  </si>
  <si>
    <t>When [my] son was a child, as soon as he speaks, (then) he blushes.</t>
  </si>
  <si>
    <t>4.20.3</t>
  </si>
  <si>
    <t>究竟 Q</t>
  </si>
  <si>
    <t>jiūjìng Q</t>
  </si>
  <si>
    <t>Q exactly</t>
  </si>
  <si>
    <t>究竟哪个季节去旅游比较好呢？</t>
  </si>
  <si>
    <t>Which season exactly is better to travel?</t>
  </si>
  <si>
    <t>https://chinesezerotohero.teachable.com/courses/301751/lectures/4852538</t>
  </si>
  <si>
    <t>4.20.4</t>
  </si>
  <si>
    <t>V 起(来)</t>
  </si>
  <si>
    <t>V qǐ( lái)</t>
  </si>
  <si>
    <t>你先把桌子上的东西拿起(来)，我擦完之后你再放下来。</t>
  </si>
  <si>
    <t>You pick up the things on the table first, and then you [can] put them down after I clean it.</t>
  </si>
  <si>
    <t>https://chinesezerotohero.teachable.com/courses/301751/lectures/4852537</t>
  </si>
  <si>
    <t>to start to V</t>
  </si>
  <si>
    <t>小王又唱起来了。</t>
  </si>
  <si>
    <t>Xiao Wang started singing again.</t>
  </si>
  <si>
    <t>seems like, sounds like</t>
  </si>
  <si>
    <t>上海话听起来就像外语一样。</t>
  </si>
  <si>
    <t>The Shanghai dialect sounds like a foreign language.</t>
  </si>
  <si>
    <t>4.20.5</t>
  </si>
  <si>
    <t>说起 O</t>
  </si>
  <si>
    <t>shuōqǐ O</t>
  </si>
  <si>
    <t>speaking of O</t>
  </si>
  <si>
    <t>说起吃的东西，给我印象最深的是湖南菜。</t>
  </si>
  <si>
    <t>Speaking of food, the one that impressed me the most is Hunan cuisine.</t>
  </si>
  <si>
    <t>https://chinesezerotohero.teachable.com/courses/301751/lectures/4852540</t>
  </si>
  <si>
    <t>5.01.1</t>
  </si>
  <si>
    <t>如何</t>
  </si>
  <si>
    <t>rúhé</t>
  </si>
  <si>
    <t>how</t>
  </si>
  <si>
    <t>评委叫第一对夫妻说说他俩是如何恩爱的。</t>
  </si>
  <si>
    <t>The judge called the first couple to talk about how they loved each other.</t>
  </si>
  <si>
    <t>https://chinesezerotohero.teachable.com/courses/302461/lectures/4914007</t>
  </si>
  <si>
    <t>how is</t>
  </si>
  <si>
    <t>“80后”们月收入情况如何？</t>
  </si>
  <si>
    <t>How is the monthly income situation with those born in the 80s?</t>
  </si>
  <si>
    <t>怎么，……</t>
  </si>
  <si>
    <t>zěnme，……</t>
  </si>
  <si>
    <t>(expression of surprise)</t>
  </si>
  <si>
    <t>怎么，你不认识我了？！</t>
  </si>
  <si>
    <t>What, you don't know me anymore?!</t>
  </si>
  <si>
    <t>5.01.2</t>
  </si>
  <si>
    <t>靠</t>
  </si>
  <si>
    <t>kào</t>
  </si>
  <si>
    <t>to lean</t>
  </si>
  <si>
    <t>王老师喜欢靠着桌子讲课。</t>
  </si>
  <si>
    <t>Teacher Wang likes to give her lecture while leaning on the table.</t>
  </si>
  <si>
    <t>https://chinesezerotohero.teachable.com/courses/302461/lectures/4921891</t>
  </si>
  <si>
    <t>beside</t>
  </si>
  <si>
    <t>我的座位是17号，是靠窗的座位。</t>
  </si>
  <si>
    <t>My seat is No. 17, which is (a seat) by the window.</t>
  </si>
  <si>
    <t>to depend</t>
  </si>
  <si>
    <t>在家靠父母，出门靠朋友。</t>
  </si>
  <si>
    <t>At home [you] relies on [your] parents, [when you] go out [you] rely on [your] friends.</t>
  </si>
  <si>
    <t>5.01.3</t>
  </si>
  <si>
    <t>居然</t>
  </si>
  <si>
    <t>jūrán</t>
  </si>
  <si>
    <t>(See 竟然)</t>
  </si>
  <si>
    <t>这么简单的题，你居然也不会做？</t>
  </si>
  <si>
    <t>[For] such a simple question, [you’re telling me that] you don’t know how to do it?</t>
  </si>
  <si>
    <t>https://chinesezerotohero.teachable.com/courses/302461/lectures/4921893</t>
  </si>
  <si>
    <t>5.02.1</t>
  </si>
  <si>
    <t>以来</t>
  </si>
  <si>
    <t>yǐlái</t>
  </si>
  <si>
    <t>since</t>
  </si>
  <si>
    <t>改革开放以来，中国发生了巨大的变化。</t>
  </si>
  <si>
    <t>Since the reform and opening up, China has undergone tremendous changes.</t>
  </si>
  <si>
    <t>https://chinesezerotohero.teachable.com/courses/302461/lectures/4991672</t>
  </si>
  <si>
    <t>5.02.2</t>
  </si>
  <si>
    <t>临</t>
  </si>
  <si>
    <t>lín</t>
  </si>
  <si>
    <t>adjacent to</t>
  </si>
  <si>
    <t>我想买一套不临街的房子，这样不会太吵。</t>
  </si>
  <si>
    <t>I want to buy a house that is not adjacent to a street, so it won't be too noisy.</t>
  </si>
  <si>
    <t>https://chinesezerotohero.teachable.com/courses/302461/lectures/4991673</t>
  </si>
  <si>
    <t>just before</t>
  </si>
  <si>
    <t>临走那天，父亲从老家赶来送我们。</t>
  </si>
  <si>
    <t>On the day (just before) he left, my father came to us from my hometown.</t>
  </si>
  <si>
    <t>5.02.3</t>
  </si>
  <si>
    <t>立刻</t>
  </si>
  <si>
    <t>lìkè</t>
  </si>
  <si>
    <t>immediately</t>
  </si>
  <si>
    <t>我们回来时，立刻感受到了家的温暖。</t>
  </si>
  <si>
    <t>When we came back, we immediately felt the warmth of home.</t>
  </si>
  <si>
    <t>https://chinesezerotohero.teachable.com/courses/302461/lectures/4991674</t>
  </si>
  <si>
    <t>5.03.1</t>
  </si>
  <si>
    <t>包括</t>
  </si>
  <si>
    <t>bāokuò</t>
  </si>
  <si>
    <t>to include</t>
  </si>
  <si>
    <t>汉语技能教学包括听、说、读、写四个方面。</t>
  </si>
  <si>
    <t>Chinese language skills teaching includes listening, speaking, reading and writing.</t>
  </si>
  <si>
    <t>https://chinesezerotohero.teachable.com/courses/302461/lectures/4991675</t>
  </si>
  <si>
    <t>5.03.2</t>
  </si>
  <si>
    <t>各自</t>
  </si>
  <si>
    <t>gèzì</t>
  </si>
  <si>
    <t>each by themselves</t>
  </si>
  <si>
    <t>中场休息时间到了，比赛双方队员各自回场外休息。</t>
  </si>
  <si>
    <t>The intermission time has arrived, and the players on both sides of the game (each by themselves) went back out of the court to rest.</t>
  </si>
  <si>
    <t>https://chinesezerotohero.teachable.com/courses/302461/lectures/4991676</t>
  </si>
  <si>
    <t>5.03.3</t>
  </si>
  <si>
    <t>勿</t>
  </si>
  <si>
    <t>wù</t>
  </si>
  <si>
    <t>do not</t>
  </si>
  <si>
    <t>非工作人员，请勿入内。</t>
  </si>
  <si>
    <t>If you’re not a staff member, please do not enter.</t>
  </si>
  <si>
    <t>https://chinesezerotohero.teachable.com/courses/302461/lectures/4991678</t>
  </si>
  <si>
    <t>5.03.4</t>
  </si>
  <si>
    <t>时刻</t>
  </si>
  <si>
    <t>shíkè</t>
  </si>
  <si>
    <t>moment</t>
  </si>
  <si>
    <t>在最后时刻，他为本队踢进了关键一球。</t>
  </si>
  <si>
    <t>At the last moment, he scored the key goal for the team.</t>
  </si>
  <si>
    <t>https://chinesezerotohero.teachable.com/courses/302461/lectures/4991677</t>
  </si>
  <si>
    <t>时刻，时时刻刻</t>
  </si>
  <si>
    <t>shíkè， shíshíkèkè</t>
  </si>
  <si>
    <t>at all times</t>
  </si>
  <si>
    <t>工作中，他时时刻刻提醒自已： 乘客的安全是最重要的。</t>
  </si>
  <si>
    <t>At work, he reminds himself at all times: The safety of passengers is the most important.</t>
  </si>
  <si>
    <t>5.04.1</t>
  </si>
  <si>
    <t>至今</t>
  </si>
  <si>
    <t>zhìjīn</t>
  </si>
  <si>
    <t>to this day</t>
  </si>
  <si>
    <t>我在北京出生、长大，至今还没离开过呢。</t>
  </si>
  <si>
    <t>I was born and raised in Beijing and have never left to this day.</t>
  </si>
  <si>
    <t>https://chinesezerotohero.teachable.com/courses/302461/lectures/5044306</t>
  </si>
  <si>
    <t>5.04.2</t>
  </si>
  <si>
    <t>顶</t>
  </si>
  <si>
    <t>dǐng</t>
  </si>
  <si>
    <t>(measure word for hats)</t>
  </si>
  <si>
    <t>我这顶新帽子怎么样？</t>
  </si>
  <si>
    <t>How [what do you think of] this new hat of mine?</t>
  </si>
  <si>
    <t>https://chinesezerotohero.teachable.com/courses/302461/lectures/5044307</t>
  </si>
  <si>
    <t>the top of</t>
  </si>
  <si>
    <t>请把手举过头顶。</t>
  </si>
  <si>
    <t>Please raise your hand over (the top of) your head.</t>
  </si>
  <si>
    <t>to lift</t>
  </si>
  <si>
    <t>他能用头顶起20斤重的东西。</t>
  </si>
  <si>
    <t>He can use his head to lift 20 pounds.</t>
  </si>
  <si>
    <t>顶着</t>
  </si>
  <si>
    <t>dǐng zhe</t>
  </si>
  <si>
    <t>against</t>
  </si>
  <si>
    <t>天气非常寒冷，子路顶着大雪往前走。</t>
  </si>
  <si>
    <t>The weather is very cold, and Zilu was trudging ahead against heavy snow.</t>
  </si>
  <si>
    <t>5.04.3</t>
  </si>
  <si>
    <t>……得很/得不行/得不得了</t>
  </si>
  <si>
    <t>…… dehěn/ dé bùxíng/ dé bùdéliǎo</t>
  </si>
  <si>
    <t>very/so/extremely</t>
  </si>
  <si>
    <t>这个地方这么热闹，孩子们高兴得很/得不行/得不得了。</t>
  </si>
  <si>
    <t>The place is so lively, the children are very/so/extremely happy.</t>
  </si>
  <si>
    <t>https://chinesezerotohero.teachable.com/courses/302461/lectures/5044309</t>
  </si>
  <si>
    <t>5.04.4</t>
  </si>
  <si>
    <t>反而</t>
  </si>
  <si>
    <t>fǎn'ér</t>
  </si>
  <si>
    <t>actually (opposite to what one expects)</t>
  </si>
  <si>
    <t>大城市的生活虽然很精彩，但一辈子生活在农村的父母反而会不适应。</t>
  </si>
  <si>
    <t>Although the life in a big city is very exciting, [my] parents who have lived in rural areas for a lifetime will actually (opposite to what one expects) find themselves ill-adapted.</t>
  </si>
  <si>
    <t>https://chinesezerotohero.teachable.com/courses/302461/lectures/5044308</t>
  </si>
  <si>
    <t>5.05.1</t>
  </si>
  <si>
    <t>从而</t>
  </si>
  <si>
    <t>cóng'ér</t>
  </si>
  <si>
    <t>consequently</t>
  </si>
  <si>
    <t>比赛前做好思想准备可以减少运动员的压力，从而取得比赛的成功。</t>
  </si>
  <si>
    <t>Preparing mentally before the game can reduce the stress on the athletes [and] consequently achieve the success of the game.</t>
  </si>
  <si>
    <t>https://chinesezerotohero.teachable.com/courses/302461/lectures/5044263</t>
  </si>
  <si>
    <t>5.05.2</t>
  </si>
  <si>
    <t>V 于 N</t>
  </si>
  <si>
    <t>V yú N</t>
  </si>
  <si>
    <t>V in N</t>
  </si>
  <si>
    <t>这家公司成立于1997年。</t>
  </si>
  <si>
    <t>This company was founded in 1997.</t>
  </si>
  <si>
    <t>https://chinesezerotohero.teachable.com/courses/302461/lectures/5044264</t>
  </si>
  <si>
    <t>V to N</t>
  </si>
  <si>
    <t>李明没办法，只好求助于当经理的老同学王峰。</t>
  </si>
  <si>
    <t>Li Ming had no choice but to turn to Wang Feng (for help), the old classmate of the manager.</t>
  </si>
  <si>
    <t>V from N</t>
  </si>
  <si>
    <t>他出身于知识分子家庭。</t>
  </si>
  <si>
    <t>He came from an intellectual family.</t>
  </si>
  <si>
    <t>A 于 N</t>
  </si>
  <si>
    <t>A yú N</t>
  </si>
  <si>
    <t>A to N</t>
  </si>
  <si>
    <t>运动有助于健康。</t>
  </si>
  <si>
    <t>Exercise is beneficial to health.</t>
  </si>
  <si>
    <t>A from/than N</t>
  </si>
  <si>
    <t>水生动物不同于陆地动物。</t>
  </si>
  <si>
    <t>Aquatic creatures are different from terrestrial ones.</t>
  </si>
  <si>
    <t>5.05.3</t>
  </si>
  <si>
    <t>V 为 (wéi) N</t>
  </si>
  <si>
    <t>V wéi (wéi) N</t>
  </si>
  <si>
    <t>V into N</t>
  </si>
  <si>
    <t>压力也可以变为动力。</t>
  </si>
  <si>
    <t>Stress can also be turned into strength.</t>
  </si>
  <si>
    <t>https://chinesezerotohero.teachable.com/courses/302461/lectures/5044265</t>
  </si>
  <si>
    <t>V as N</t>
  </si>
  <si>
    <t>在他看来，没有工作的生活就不能称其为生活。</t>
  </si>
  <si>
    <t>In his view, life without work cannot be called (as) life.</t>
  </si>
  <si>
    <t>5.05.4</t>
  </si>
  <si>
    <t>地下水积蓄起来，越积越多。</t>
  </si>
  <si>
    <t>The groundwater is store (up) and accumulates.</t>
  </si>
  <si>
    <t>https://chinesezerotohero.teachable.com/courses/302461/lectures/5044266</t>
  </si>
  <si>
    <t>藏起来/躲起来</t>
  </si>
  <si>
    <t>cáng qilai/ duǒ qilai</t>
  </si>
  <si>
    <t>V away</t>
  </si>
  <si>
    <t>刘丽知道自己做得不对，躲起来不敢见我。</t>
  </si>
  <si>
    <t>Liu Li knows that she is doing something wrong, and she hides [herself] away and does not dare to see me.</t>
  </si>
  <si>
    <t>5.06.1</t>
  </si>
  <si>
    <t>替</t>
  </si>
  <si>
    <t>tì</t>
  </si>
  <si>
    <t>to replace</t>
  </si>
  <si>
    <t>见了外公，请替我向他问好。</t>
  </si>
  <si>
    <t>When you see my grandfather, please say hello to him (on my behalf).</t>
  </si>
  <si>
    <t>https://chinesezerotohero.teachable.com/courses/302461/lectures/5044269</t>
  </si>
  <si>
    <t>on behalf of</t>
  </si>
  <si>
    <t>李阳要去留学了，我们都替他高兴。</t>
  </si>
  <si>
    <t>Li Yang is going to study abroad, and we are all happy for him.</t>
  </si>
  <si>
    <t>5.06.2</t>
  </si>
  <si>
    <t>说不定</t>
  </si>
  <si>
    <t>shuōbudìng</t>
  </si>
  <si>
    <t>uncertain</t>
  </si>
  <si>
    <t>这事儿经理已经同意了，只是出发的时间还说不定。</t>
  </si>
  <si>
    <t>The manager has already agreed, but the time of departure is still uncertain.</t>
  </si>
  <si>
    <t>https://chinesezerotohero.teachable.com/courses/302461/lectures/5044271</t>
  </si>
  <si>
    <t>maybe</t>
  </si>
  <si>
    <t>别随随便便就说放弃，说不定下次就成功了。</t>
  </si>
  <si>
    <t>Don't just give up so easily, maybe you will succeed next time.</t>
  </si>
  <si>
    <t>5.06.3</t>
  </si>
  <si>
    <t>N 似的</t>
  </si>
  <si>
    <t>N shìde</t>
  </si>
  <si>
    <t>like N</t>
  </si>
  <si>
    <t>我不敢相信这是真的，好像做梦似的。</t>
  </si>
  <si>
    <t>I can't believe this is true, it seems like a dream.</t>
  </si>
  <si>
    <t>https://chinesezerotohero.teachable.com/courses/302461/lectures/5044272</t>
  </si>
  <si>
    <t>A 得什么似的</t>
  </si>
  <si>
    <t>A dé shénme shìde</t>
  </si>
  <si>
    <t>so A (to an extreme)</t>
  </si>
  <si>
    <t>他背着重重的电脑包挤地铁，下班回到家累得什么似的。</t>
  </si>
  <si>
    <t>He squeezed into the [crowded] subway with [his] heavy computer bag, and he was so tired when he got home from work.</t>
  </si>
  <si>
    <t>5.06.4</t>
  </si>
  <si>
    <t>纷纷 V</t>
  </si>
  <si>
    <t>fēnfēn V</t>
  </si>
  <si>
    <t>V in quick succession</t>
  </si>
  <si>
    <t>要下雨了， 路上的人纷纷往家里跑。</t>
  </si>
  <si>
    <t>It’s going to rain, and people on the road are running home (one after another in quick succession).</t>
  </si>
  <si>
    <t>https://chinesezerotohero.teachable.com/courses/302461/lectures/5044270</t>
  </si>
  <si>
    <t>5.07.1</t>
  </si>
  <si>
    <t>瞎</t>
  </si>
  <si>
    <t>xiā</t>
  </si>
  <si>
    <t>blind</t>
  </si>
  <si>
    <t>一天， 他让士兵们去找一头大象和一些出生时眼晴就瞎了的人回来。</t>
  </si>
  <si>
    <t>One day, he asked the soldiers to find an elephant and some people who were blind when they were born.</t>
  </si>
  <si>
    <t>https://chinesezerotohero.teachable.com/courses/302461/lectures/5044274</t>
  </si>
  <si>
    <t>thoughtlessly</t>
  </si>
  <si>
    <t>他会想办法的，你就别替他瞎担心了。</t>
  </si>
  <si>
    <t>He will find a way, you don't (thoughtlessly) worry about him.</t>
  </si>
  <si>
    <t>5.07.2</t>
  </si>
  <si>
    <t>分别</t>
  </si>
  <si>
    <t>fēnbié</t>
  </si>
  <si>
    <t>to separate</t>
  </si>
  <si>
    <t>分别是暂时的，我们以后一定会再见。</t>
  </si>
  <si>
    <t>The separation is temporary. We will definitely see each other again in the future.</t>
  </si>
  <si>
    <t>https://chinesezerotohero.teachable.com/courses/302461/lectures/5044277</t>
  </si>
  <si>
    <t>difference</t>
  </si>
  <si>
    <t>我不知道这两种做法有什么分别。</t>
  </si>
  <si>
    <t>I don't know the difference between the two approaches.</t>
  </si>
  <si>
    <t>separately</t>
  </si>
  <si>
    <t>我分别找两个人打听了这件事，他们的说法都是一样的。</t>
  </si>
  <si>
    <t>I asked two people (separately) to ask about this, and they all said the same thing.</t>
  </si>
  <si>
    <t>respectively</t>
  </si>
  <si>
    <t>砂岩和砾岩分别是砂和砾石固结的产物。</t>
  </si>
  <si>
    <t>Sandstone and conglomerate are the consolidated equivalent of sand and gravel, respectively.</t>
  </si>
  <si>
    <t>5.07.3</t>
  </si>
  <si>
    <t>根</t>
  </si>
  <si>
    <t>gēn</t>
  </si>
  <si>
    <t>摸到尾巴的盲人说大象像一根绳子。</t>
  </si>
  <si>
    <t>The blind man who touched the tail said that the elephant is like a rope.</t>
  </si>
  <si>
    <t>https://chinesezerotohero.teachable.com/courses/302461/lectures/5044275</t>
  </si>
  <si>
    <t>root</t>
  </si>
  <si>
    <t>这棵树的根又粗又长。</t>
  </si>
  <si>
    <t>The root of this tree is thick and long.</t>
  </si>
  <si>
    <t>5.07.4</t>
  </si>
  <si>
    <t>便</t>
  </si>
  <si>
    <t>biàn</t>
  </si>
  <si>
    <t>楼上新买了一架钢琴，我们家便多了一些不安静。</t>
  </si>
  <si>
    <t>A new piano was bought upstairs, and then there were more noise (lit. unquiet) [heard] in our home.</t>
  </si>
  <si>
    <t>https://chinesezerotohero.teachable.com/courses/302461/lectures/5044276</t>
  </si>
  <si>
    <t>5.08.1</t>
  </si>
  <si>
    <t>倒/反倒</t>
  </si>
  <si>
    <t>dǎo/ fǎndào</t>
  </si>
  <si>
    <t>contrary to logic</t>
  </si>
  <si>
    <t>少年不解地问：“怎么勇敢反倒成为缺点了？”</t>
  </si>
  <si>
    <t>Puzzled, the teenager asked: "How is it that bravery is a fault now (which is contrary to logic)?”</t>
  </si>
  <si>
    <t>https://chinesezerotohero.teachable.com/courses/302461/lectures/5044279</t>
  </si>
  <si>
    <t>despite all</t>
  </si>
  <si>
    <t>质量倒是挺好，就是价格太贵了。</t>
  </si>
  <si>
    <t>(Despite all) the quality is (actually) pretty good, it’s just that the price is too expensive.</t>
  </si>
  <si>
    <t>for crying out loud</t>
  </si>
  <si>
    <t>你倒是说说看，这件事你不负责谁负责？</t>
  </si>
  <si>
    <t>Now you tell us, for crying out loud, if you’re not responsible for this, then who is?</t>
  </si>
  <si>
    <t>5.08.2</t>
  </si>
  <si>
    <t>V 来 V 去</t>
  </si>
  <si>
    <t>V lái V qù</t>
  </si>
  <si>
    <t>V around</t>
  </si>
  <si>
    <t>小狗追着自己的尾巴， 在草地上跑来跑去。</t>
  </si>
  <si>
    <t>The dog chased his tail and ran around on the grass.</t>
  </si>
  <si>
    <t>https://chinesezerotohero.teachable.com/courses/302461/lectures/5044280</t>
  </si>
  <si>
    <t>5.08.3</t>
  </si>
  <si>
    <t>要不/不然/要不然</t>
  </si>
  <si>
    <t>yàobù/ bùrán/ yàobùrán</t>
  </si>
  <si>
    <t>otherwise</t>
  </si>
  <si>
    <t>还好碰见你了，要不/不然/要不然我今天肯定要迟到了。</t>
  </si>
  <si>
    <t>Fortunately, I ran into you, otherwise I must have been late today.</t>
  </si>
  <si>
    <t>https://chinesezerotohero.teachable.com/courses/302461/lectures/5044281</t>
  </si>
  <si>
    <t>why not try</t>
  </si>
  <si>
    <t>今天太晚了，要不/不然/要不然你明天再走吧。</t>
  </si>
  <si>
    <t>It’s too late today, why don’t (you) leave tomorrow instead?</t>
  </si>
  <si>
    <t>5.08.4</t>
  </si>
  <si>
    <t>彼此 V</t>
  </si>
  <si>
    <t>bǐcǐ V</t>
  </si>
  <si>
    <t>each other</t>
  </si>
  <si>
    <t>好朋友应该彼此帮助。</t>
  </si>
  <si>
    <t>Good friends should help each other.</t>
  </si>
  <si>
    <t>https://chinesezerotohero.teachable.com/courses/302461/lectures/5044282</t>
  </si>
  <si>
    <t>彼此</t>
  </si>
  <si>
    <t>bǐcǐ</t>
  </si>
  <si>
    <t>(pronoun for 2 people)</t>
  </si>
  <si>
    <t>我们彼此的爱好相同。</t>
  </si>
  <si>
    <t>We (us two) have the same hobbies.</t>
  </si>
  <si>
    <t>彼此彼此</t>
  </si>
  <si>
    <t>bǐcǐbǐcǐ</t>
  </si>
  <si>
    <t>about the same</t>
  </si>
  <si>
    <t>咱们俩彼此彼此， 我画得比你好不了多少。</t>
  </si>
  <si>
    <t>We (the two of us) are pretty much the same, I can't paint much better than you.</t>
  </si>
  <si>
    <t>5.09.1</t>
  </si>
  <si>
    <t>算</t>
  </si>
  <si>
    <t>suàn</t>
  </si>
  <si>
    <t>counts as</t>
  </si>
  <si>
    <t>这钱就算我借给你的，将来你有了的时候再还我。</t>
  </si>
  <si>
    <t>Let’s just say that the money is loaned to you, you can pay me back when you have [more money].</t>
  </si>
  <si>
    <t>https://chinesezerotohero.teachable.com/courses/302461/lectures/5044298</t>
  </si>
  <si>
    <t>V 了/掉 算了</t>
  </si>
  <si>
    <t>V le/ diào suànle</t>
  </si>
  <si>
    <t>might as well V</t>
  </si>
  <si>
    <t>不就是一个空瓶子吗？扔掉算了。</t>
  </si>
  <si>
    <t>Isn't it just an empty bottle? Might as well throw it away.</t>
  </si>
  <si>
    <t>5.09.2</t>
  </si>
  <si>
    <t>作为 N</t>
  </si>
  <si>
    <t>zuòwéi N</t>
  </si>
  <si>
    <t>as N</t>
  </si>
  <si>
    <t>作为大作家、大学问家，鲁迅对吃很讲究。</t>
  </si>
  <si>
    <t>As a great writer and a great intellectual, Lu Xun is very particular about eating.</t>
  </si>
  <si>
    <t>https://chinesezerotohero.teachable.com/courses/302461/lectures/5044299</t>
  </si>
  <si>
    <t>5.09.3</t>
  </si>
  <si>
    <t>曾经</t>
  </si>
  <si>
    <t>céngjīng</t>
  </si>
  <si>
    <t>once</t>
  </si>
  <si>
    <t>孔子曾经带着学生周游各国14年，传播他的思想。</t>
  </si>
  <si>
    <t>Confucius once took students around the country for 14 years, spreading his thoughts.</t>
  </si>
  <si>
    <t>https://chinesezerotohero.teachable.com/courses/302461/lectures/5044300</t>
  </si>
  <si>
    <t>5.10.1</t>
  </si>
  <si>
    <t>毕竟</t>
  </si>
  <si>
    <t>bìjìng</t>
  </si>
  <si>
    <t>after all</t>
  </si>
  <si>
    <t>虽然我们遇到了很多困难，但毕竟完成了任务。</t>
  </si>
  <si>
    <t>Although we have encountered a lot of difficulties, we have completed the task after all.</t>
  </si>
  <si>
    <t>https://chinesezerotohero.teachable.com/courses/302482/lectures/5157349</t>
  </si>
  <si>
    <t>5.10.2</t>
  </si>
  <si>
    <t>逐渐</t>
  </si>
  <si>
    <t>zhújiàn</t>
  </si>
  <si>
    <t>gradually</t>
  </si>
  <si>
    <t>食物越来越少，老人不得不逐渐限制猴子的食量。</t>
  </si>
  <si>
    <t>With less and less food, the elderly have to gradually limit the amount of food they eat.</t>
  </si>
  <si>
    <t>https://chinesezerotohero.teachable.com/courses/302482/lectures/5157347</t>
  </si>
  <si>
    <t>5.10.3</t>
  </si>
  <si>
    <t>或许</t>
  </si>
  <si>
    <t>huòxǔ</t>
  </si>
  <si>
    <t>虽然以前她不支持你，但或许这次会有变化。</t>
  </si>
  <si>
    <t>Although she did not support you before, maybe this time things will change.</t>
  </si>
  <si>
    <t>https://chinesezerotohero.teachable.com/courses/302482/lectures/5157348</t>
  </si>
  <si>
    <t>5.11.1</t>
  </si>
  <si>
    <t>V 过来</t>
  </si>
  <si>
    <t>V guòlái</t>
  </si>
  <si>
    <t>V and recover</t>
  </si>
  <si>
    <t>过了半天，脑子才清醒过来。</t>
  </si>
  <si>
    <t xml:space="preserve">My head cleared up only after a long time, </t>
  </si>
  <si>
    <t>https://chinesezerotohero.teachable.com/courses/302482/lectures/5157446</t>
  </si>
  <si>
    <t>V 得过来 / V 不过来</t>
  </si>
  <si>
    <t>V dé guòlái / V bùguò lái</t>
  </si>
  <si>
    <t>can finish V / cannot finish V</t>
  </si>
  <si>
    <t>天上的星星那么多，谁数得过来呀？</t>
  </si>
  <si>
    <t>There are so many stars in the sky, who can count them (out)?</t>
  </si>
  <si>
    <t>5.11.2</t>
  </si>
  <si>
    <t>所</t>
  </si>
  <si>
    <t>suǒ</t>
  </si>
  <si>
    <t>(measure word for institutions)</t>
  </si>
  <si>
    <t>他来自北京的一所大学。</t>
  </si>
  <si>
    <t>He is from a university in Beijing.</t>
  </si>
  <si>
    <t>https://chinesezerotohero.teachable.com/courses/302482/lectures/5157448</t>
  </si>
  <si>
    <t>S + (所) + V + 的</t>
  </si>
  <si>
    <t>S + ( suǒ) + V + de</t>
  </si>
  <si>
    <t>what S V</t>
  </si>
  <si>
    <t>山水画(所)表现的是人与自然的关系。</t>
  </si>
  <si>
    <t>What the landscape painting shows is the relationship between man and nature.</t>
  </si>
  <si>
    <t>有所 V</t>
  </si>
  <si>
    <t>yǒusuǒ V</t>
  </si>
  <si>
    <t>has/have V’ed</t>
  </si>
  <si>
    <t>随着年龄的增大，女性的职场幸福感有所提高。</t>
  </si>
  <si>
    <t>As [their] age increases, women’s happiness at work has increased.</t>
  </si>
  <si>
    <t>无所 V</t>
  </si>
  <si>
    <t>wú suǒ V</t>
  </si>
  <si>
    <t>have nothing to V</t>
  </si>
  <si>
    <t>你要是坚持真理就可以无所畏惧。</t>
  </si>
  <si>
    <t>If you stick to the truth, you've nothing to fear.</t>
  </si>
  <si>
    <t>5.11.3</t>
  </si>
  <si>
    <t>与 N 相当</t>
  </si>
  <si>
    <t>yǔ N xiāngdāng</t>
  </si>
  <si>
    <t>equivalent to N</t>
  </si>
  <si>
    <t>开车打电话的人的反应速度与醉酒者相当。</t>
  </si>
  <si>
    <t>The reaction speed of the person who calls while driving is equivalent to a drunk.</t>
  </si>
  <si>
    <t>https://chinesezerotohero.teachable.com/courses/302482/lectures/5157447</t>
  </si>
  <si>
    <t>相当于 N</t>
  </si>
  <si>
    <t>xiāngdāngyú N</t>
  </si>
  <si>
    <t>这种鸟一天所食的害虫相当于自己的体重。</t>
  </si>
  <si>
    <t>The pests that this bird eats a day are equivalent to its own weight.</t>
  </si>
  <si>
    <t>相当</t>
  </si>
  <si>
    <t>xiāngdāng</t>
  </si>
  <si>
    <t>quite</t>
  </si>
  <si>
    <t>菜的味道好极了，服务也周到，我相当满意。</t>
  </si>
  <si>
    <t>The dish is very delicious, the service is also thoughtful, I am quite satisfied.</t>
  </si>
  <si>
    <t>considerable</t>
  </si>
  <si>
    <t>相当一部分人会以收入多少作为幸福的标准。</t>
  </si>
  <si>
    <t>A considerable number of people will regard their income as a standard of happiness.</t>
  </si>
  <si>
    <t>5.11.4</t>
  </si>
  <si>
    <t>数 (shǔ)</t>
  </si>
  <si>
    <t>shǔ (shǔ)</t>
  </si>
  <si>
    <t>to count</t>
  </si>
  <si>
    <t>我大概数了一下，车上有32个学生。</t>
  </si>
  <si>
    <t>I roughly counted it, there are 32 students in the vehicle.</t>
  </si>
  <si>
    <t>https://chinesezerotohero.teachable.com/courses/302482/lectures/5157449</t>
  </si>
  <si>
    <t>to be reckoned as</t>
  </si>
  <si>
    <t>要说我们班跑得最快的，那就数李阳了。</t>
  </si>
  <si>
    <t>If we were to discuss who our class runs the fastest, then it’s no other than Li Yang.</t>
  </si>
  <si>
    <t>数 (shù)</t>
  </si>
  <si>
    <t>shǔ (shù)</t>
  </si>
  <si>
    <t>这里夏季的雷阵雨一般可持续数小时或者更久的时间。</t>
  </si>
  <si>
    <t>The thunderstorms in summer here generally last for several hours or longer.</t>
  </si>
  <si>
    <t>5.12.1</t>
  </si>
  <si>
    <t>以及</t>
  </si>
  <si>
    <t>yǐjí</t>
  </si>
  <si>
    <t>学校的领导、教师以及一些学生代表观看了演出。</t>
  </si>
  <si>
    <t>School leaders, teachers, and some student representatives watched the show.</t>
  </si>
  <si>
    <t>https://chinesezerotohero.teachable.com/courses/302482/lectures/5157510</t>
  </si>
  <si>
    <t>5.12.2</t>
  </si>
  <si>
    <t>程度</t>
  </si>
  <si>
    <t>chéngdù</t>
  </si>
  <si>
    <t>degree</t>
  </si>
  <si>
    <t>问题已经发展到了十分严重的程度。</t>
  </si>
  <si>
    <t>The problem has grown to a very serious degree.</t>
  </si>
  <si>
    <t>https://chinesezerotohero.teachable.com/courses/302482/lectures/5157511</t>
  </si>
  <si>
    <t>5.13.1</t>
  </si>
  <si>
    <t>(更)何况</t>
  </si>
  <si>
    <t>( gèng) hékuàng</t>
  </si>
  <si>
    <t>let alone</t>
  </si>
  <si>
    <t>连运动员都不满意，更何况看比赛的球迷呢？</t>
  </si>
  <si>
    <t>Even the athletes are not satisfied, let alone the fans watching the game?</t>
  </si>
  <si>
    <t>https://chinesezerotohero.teachable.com/courses/302482/lectures/5157484</t>
  </si>
  <si>
    <t>5.13.2</t>
  </si>
  <si>
    <t>何必</t>
  </si>
  <si>
    <t>hébì</t>
  </si>
  <si>
    <t>What for? Why do you have to…?</t>
  </si>
  <si>
    <t>你何必亲自送一趟呢？叫个快递不就行了？</t>
  </si>
  <si>
    <t>Why do you have to deliver it yourself? Calling a courier is not enough?</t>
  </si>
  <si>
    <t>https://chinesezerotohero.teachable.com/courses/302482/lectures/5157485</t>
  </si>
  <si>
    <t>5.13.3</t>
  </si>
  <si>
    <t>多亏</t>
  </si>
  <si>
    <t>duōkuī</t>
  </si>
  <si>
    <t>thanks to</t>
  </si>
  <si>
    <t>多亏了他这句话，人们如梦初醒。</t>
  </si>
  <si>
    <t>Thanks to his words, people wake up like a dream.</t>
  </si>
  <si>
    <t>https://chinesezerotohero.teachable.com/courses/302482/lectures/5157486</t>
  </si>
  <si>
    <t>5.14.1</t>
  </si>
  <si>
    <t>所谓</t>
  </si>
  <si>
    <t>suǒwèi</t>
  </si>
  <si>
    <t>so-called</t>
  </si>
  <si>
    <t>他所谓的“新闻”， 其实我们早就知道了！</t>
  </si>
  <si>
    <t>His so-called "news", in fact, we already know!</t>
  </si>
  <si>
    <t>https://chinesezerotohero.teachable.com/courses/302482/lectures/5157514</t>
  </si>
  <si>
    <t>5.14.2</t>
  </si>
  <si>
    <t>N 则 V/A</t>
  </si>
  <si>
    <t>N zé V/A</t>
  </si>
  <si>
    <t>whereas N V</t>
  </si>
  <si>
    <t>他高中毕业以后出国留学了，而我则一直留在国内。</t>
  </si>
  <si>
    <t>After graduating from high school, he went abroad to study, whereas I stayed at home.</t>
  </si>
  <si>
    <t>https://chinesezerotohero.teachable.com/courses/302482/lectures/5157515</t>
  </si>
  <si>
    <t>……则……</t>
  </si>
  <si>
    <t>…… zé……</t>
  </si>
  <si>
    <t>if… then…</t>
  </si>
  <si>
    <t>北京的冬天，有风则寒，无风则暖。</t>
  </si>
  <si>
    <t>Beijing in the winter, if it’s windy then it’s cold, and if not then it’s warm.</t>
  </si>
  <si>
    <t># 则</t>
  </si>
  <si>
    <t># zé</t>
  </si>
  <si>
    <t>(measure word for stories)</t>
  </si>
  <si>
    <t>今天的报纸上有一则非常重要的新闻。</t>
  </si>
  <si>
    <t>There is a very important news in today's newspaper.</t>
  </si>
  <si>
    <t>5.14.3</t>
  </si>
  <si>
    <t>为 S 所 V</t>
  </si>
  <si>
    <t>wéi S suǒ V</t>
  </si>
  <si>
    <t>is V’ed by S</t>
  </si>
  <si>
    <t>有了科学，大自然就可以更好地为人所用。</t>
  </si>
  <si>
    <t>With science, nature can be better used by mankind.</t>
  </si>
  <si>
    <t>https://chinesezerotohero.teachable.com/courses/302482/lectures/5157516</t>
  </si>
  <si>
    <t>5.14.4</t>
  </si>
  <si>
    <t>V 起</t>
  </si>
  <si>
    <t>V qǐ</t>
  </si>
  <si>
    <t>拉起手，我们就是好朋友。</t>
  </si>
  <si>
    <t>Joining (lit. grab/pull up) our hands, we are good friends.</t>
  </si>
  <si>
    <t>https://chinesezerotohero.teachable.com/courses/302482/lectures/5157517</t>
  </si>
  <si>
    <t>5.15.1</t>
  </si>
  <si>
    <t>V 得过</t>
  </si>
  <si>
    <t>V dé guò</t>
  </si>
  <si>
    <t>can V and overcome</t>
  </si>
  <si>
    <t>跟别人谈论起军事来，没有人说得过他。</t>
  </si>
  <si>
    <t>Talking to others about military affairs, no one can win arguments (lit. talk) over him.</t>
  </si>
  <si>
    <t>https://chinesezerotohero.teachable.com/courses/302482/lectures/5157519</t>
  </si>
  <si>
    <t>5.15.2</t>
  </si>
  <si>
    <t>迟早</t>
  </si>
  <si>
    <t>chízǎo</t>
  </si>
  <si>
    <t>sooner or later</t>
  </si>
  <si>
    <t>随着网络技术的发展，这些问题迟早都会得到解决。</t>
  </si>
  <si>
    <t>With the development of network technology, these problems will be solved sooner or later.</t>
  </si>
  <si>
    <t>https://chinesezerotohero.teachable.com/courses/302482/lectures/5157520</t>
  </si>
  <si>
    <t>5.15.3</t>
  </si>
  <si>
    <t>再三</t>
  </si>
  <si>
    <t>zàisān</t>
  </si>
  <si>
    <t>repeatedly</t>
  </si>
  <si>
    <t>赵括的母亲再三阻止赵王任命儿子为大将。</t>
  </si>
  <si>
    <t>Zhao Kuo’s mother repeatedly prevented Zhao Wang from appointing his son as a general.</t>
  </si>
  <si>
    <t>https://chinesezerotohero.teachable.com/courses/302482/lectures/5157521</t>
  </si>
  <si>
    <t>5.16.1</t>
  </si>
  <si>
    <t>即</t>
  </si>
  <si>
    <t>jí</t>
  </si>
  <si>
    <t>that is</t>
  </si>
  <si>
    <t>“旦”是象形字，即太阳从地平线上升起。</t>
  </si>
  <si>
    <t>“旦” is a pictograph, that is, the sun rising from the horizon.</t>
  </si>
  <si>
    <t>https://chinesezerotohero.teachable.com/courses/302482/lectures/5157621</t>
  </si>
  <si>
    <t>……即……</t>
  </si>
  <si>
    <t>…… jí……</t>
  </si>
  <si>
    <t>不懂即问是他最大的优点，也是他成功的主要原因。</t>
  </si>
  <si>
    <t>If he doesn’t understand something, (then) he’ll just ask. This is his greatest strength, but also the main reason for his success.</t>
  </si>
  <si>
    <t>5.16.2</t>
  </si>
  <si>
    <t>个别 V</t>
  </si>
  <si>
    <t>gèbié V</t>
  </si>
  <si>
    <t>individually V, separately V</t>
  </si>
  <si>
    <t>他经常采取个别谈话的方式了解情况和解决问题。</t>
  </si>
  <si>
    <t>He often uses individual conversations to understand the situation and solve problems.</t>
  </si>
  <si>
    <t>https://chinesezerotohero.teachable.com/courses/302482/lectures/5157622</t>
  </si>
  <si>
    <t>个别 N</t>
  </si>
  <si>
    <t>gèbié N</t>
  </si>
  <si>
    <t>only a few N (as an exception)</t>
  </si>
  <si>
    <t>除了个别人以外，多数人体重的增加会从周六开始。</t>
  </si>
  <si>
    <t>Except for a few individual [persons], the weight gain of most people starts on Saturday.</t>
  </si>
  <si>
    <t>5.16.3</t>
  </si>
  <si>
    <t>非</t>
  </si>
  <si>
    <t>fēi</t>
  </si>
  <si>
    <t>to insist on</t>
  </si>
  <si>
    <t>他非要离婚，我们谁拦也拦不住。</t>
  </si>
  <si>
    <t>He insists on divorcing, and we can’t stop it.</t>
  </si>
  <si>
    <t>https://chinesezerotohero.teachable.com/courses/302482/lectures/5157623</t>
  </si>
  <si>
    <t>not, un-</t>
  </si>
  <si>
    <t>出现非正常情况时请不要紧张。</t>
  </si>
  <si>
    <t>Please do not be nervous when emergencies (lit. abnormal conditions) occur.</t>
  </si>
  <si>
    <t>并非</t>
  </si>
  <si>
    <t>bìngfēi</t>
  </si>
  <si>
    <t>not</t>
  </si>
  <si>
    <t>成功有时候并非想象中那么难。</t>
  </si>
  <si>
    <t>Success is sometimes not as difficult as it might seem.</t>
  </si>
  <si>
    <t>5.17.1</t>
  </si>
  <si>
    <t>(see 4.14.2 “以”)</t>
  </si>
  <si>
    <t>https://chinesezerotohero.teachable.com/courses/302482/lectures/5157641</t>
  </si>
  <si>
    <t>5.17.2</t>
  </si>
  <si>
    <t>平常</t>
  </si>
  <si>
    <t>píngcháng</t>
  </si>
  <si>
    <t>ordinary</t>
  </si>
  <si>
    <t>对小王来说，今天是一个不平常的日子。</t>
  </si>
  <si>
    <t>For Xiao Wang, today is an extraordinary day.</t>
  </si>
  <si>
    <t>https://chinesezerotohero.teachable.com/courses/302482/lectures/5157638</t>
  </si>
  <si>
    <t>usually</t>
  </si>
  <si>
    <t>他平常总是来得很早，今天却迟到了。</t>
  </si>
  <si>
    <t>He usually comes very early, but he is late today.</t>
  </si>
  <si>
    <t>5.17.3</t>
  </si>
  <si>
    <t>宁可</t>
  </si>
  <si>
    <t>nìngkě</t>
  </si>
  <si>
    <t>would rather</t>
  </si>
  <si>
    <t>作为母亲，她宁可自已累一点儿，也不想委屈了孩子。</t>
  </si>
  <si>
    <t>As a mother, she would rather be tired of herself and would not want to wrong her child.</t>
  </si>
  <si>
    <t>https://chinesezerotohero.teachable.com/courses/302482/lectures/5157639</t>
  </si>
  <si>
    <t>5.18.1</t>
  </si>
  <si>
    <t>极其</t>
  </si>
  <si>
    <t>jíqí</t>
  </si>
  <si>
    <t>extremely</t>
  </si>
  <si>
    <t>在中国，餐桌上放一把刀是极其少见的现象。</t>
  </si>
  <si>
    <t>In China, putting a knife on the table is an extremely rare phenomenon.</t>
  </si>
  <si>
    <t>https://chinesezerotohero.teachable.com/courses/302482/lectures/5157799</t>
  </si>
  <si>
    <t>5.18.2</t>
  </si>
  <si>
    <t>其余</t>
  </si>
  <si>
    <t>qíyú</t>
  </si>
  <si>
    <t>the rest</t>
  </si>
  <si>
    <t>怎么只有你们两个人？其余的同学呢？</t>
  </si>
  <si>
    <t>How come you two people? What about the rest of the classmates?</t>
  </si>
  <si>
    <t>https://chinesezerotohero.teachable.com/courses/302482/lectures/5157800</t>
  </si>
  <si>
    <t>5.18.3</t>
  </si>
  <si>
    <t>(由此) 可见</t>
  </si>
  <si>
    <t>( yóucǐ) kějiàn</t>
  </si>
  <si>
    <t>This shows that</t>
  </si>
  <si>
    <t>由此可见，成功是需要努力的。</t>
  </si>
  <si>
    <t>This shows that success requires hard work.</t>
  </si>
  <si>
    <t>https://chinesezerotohero.teachable.com/courses/302482/lectures/5157801</t>
  </si>
  <si>
    <t>5.19.1</t>
  </si>
  <si>
    <t>N 般</t>
  </si>
  <si>
    <t>N bān</t>
  </si>
  <si>
    <t>她的脸上露出了阳光般的笑容。</t>
  </si>
  <si>
    <t>Her face showed a sunny (lit. like sunlight) smile.</t>
  </si>
  <si>
    <t>https://chinesezerotohero.teachable.com/courses/302483/lectures/5517723</t>
  </si>
  <si>
    <t>5.19.2</t>
  </si>
  <si>
    <t>闻</t>
  </si>
  <si>
    <t>wén</t>
  </si>
  <si>
    <t>to smell</t>
  </si>
  <si>
    <t>他把壶盖儿打开，闻了闻，原来是酒。</t>
  </si>
  <si>
    <t>He opened the lid of the pot and smelled it. It turned out to be alcohol.</t>
  </si>
  <si>
    <t>https://chinesezerotohero.teachable.com/courses/302483/lectures/5517724</t>
  </si>
  <si>
    <t>to hear</t>
  </si>
  <si>
    <t>百闻不如一见。</t>
  </si>
  <si>
    <t>Seeing is believing. (Lit. hearing about something 100 times is not as good as seeing it once.)</t>
  </si>
  <si>
    <t>5.19.3</t>
  </si>
  <si>
    <t>趁</t>
  </si>
  <si>
    <t>chèn</t>
  </si>
  <si>
    <t>while (an opportunity exists)</t>
  </si>
  <si>
    <t>趁电影还没开始，我去买两瓶矿泉水。</t>
  </si>
  <si>
    <t>The movie hasn’t started, I’ll make use of the opportunity and get two bottles of mineral water.</t>
  </si>
  <si>
    <t>https://chinesezerotohero.teachable.com/courses/302483/lectures/5517727</t>
  </si>
  <si>
    <t>5.20.1</t>
  </si>
  <si>
    <t>V 不起</t>
  </si>
  <si>
    <t>V bù qǐ</t>
  </si>
  <si>
    <t>cannot</t>
  </si>
  <si>
    <t>他家里很穷，买不起灯，一到晚上就不能读书。</t>
  </si>
  <si>
    <t>His family is very poor and can't afford a lamp, [so he] can’t read at night.</t>
  </si>
  <si>
    <t>https://chinesezerotohero.teachable.com/courses/302483/lectures/5517726</t>
  </si>
  <si>
    <t>V 得起</t>
  </si>
  <si>
    <t>V dé qǐ</t>
  </si>
  <si>
    <t>can stand/tolerate</t>
  </si>
  <si>
    <t>经得起时间考验的朋友才算是真正的朋友。</t>
  </si>
  <si>
    <t>A friend who can stand the test of time is a true friend.</t>
  </si>
  <si>
    <t>5.20.2</t>
  </si>
  <si>
    <t>支</t>
  </si>
  <si>
    <t>zhī</t>
  </si>
  <si>
    <t>to prop up, to support</t>
  </si>
  <si>
    <t>他的两只手放在桌上，支着脑袋，想着事情。</t>
  </si>
  <si>
    <t>His two hands were on the table, propping up his head, and he thought about things.</t>
  </si>
  <si>
    <t>https://chinesezerotohero.teachable.com/courses/302483/lectures/5517725</t>
  </si>
  <si>
    <t>(measure word for guns, songs, or armies)</t>
  </si>
  <si>
    <t>给他十支枪，他就能拉起一支军队来。</t>
  </si>
  <si>
    <t>Give him ten guns and he can raise an army.</t>
  </si>
  <si>
    <t>5.20.3</t>
  </si>
  <si>
    <t>凭</t>
  </si>
  <si>
    <t>píng</t>
  </si>
  <si>
    <t>to reply on</t>
  </si>
  <si>
    <t>干工作不能光凭经验，还要有创新。</t>
  </si>
  <si>
    <t>When we work, we can’t just rely on experience, we also need to innovate.</t>
  </si>
  <si>
    <t>https://chinesezerotohero.teachable.com/courses/302483/lectures/5517728</t>
  </si>
  <si>
    <t>5.21.1</t>
  </si>
  <si>
    <t>硬 V</t>
  </si>
  <si>
    <t>yìng V</t>
  </si>
  <si>
    <t>by brute force</t>
  </si>
  <si>
    <t>虽然中药有点儿苦，但他还是硬喝下去了。</t>
  </si>
  <si>
    <t>Although the Chinese medicine is a bit bitter, he still bit the bullet and drank it.</t>
  </si>
  <si>
    <t>https://chinesezerotohero.teachable.com/courses/302483/lectures/5517729</t>
  </si>
  <si>
    <t>to insist on V-ing</t>
  </si>
  <si>
    <t>我不让他去，他硬要去。</t>
  </si>
  <si>
    <t>I won’t let him go, he just insists on going.</t>
  </si>
  <si>
    <t>5.21.2</t>
  </si>
  <si>
    <t>偶然的</t>
  </si>
  <si>
    <t>ǒurán de</t>
  </si>
  <si>
    <t>accidental (opportunity)</t>
  </si>
  <si>
    <t>那是一次偶然的相遇。</t>
  </si>
  <si>
    <t>It was an accidental encounter.</t>
  </si>
  <si>
    <t>https://chinesezerotohero.teachable.com/courses/302483/lectures/5517734</t>
  </si>
  <si>
    <t>偶然 V</t>
  </si>
  <si>
    <t>ǒurán V</t>
  </si>
  <si>
    <t>她专心地织着毛衣，偶然也会抬眼看一下墙上的挂钟。</t>
  </si>
  <si>
    <t>She focused on knitting a sweater, and occasionally glances at the clock on the wall.</t>
  </si>
  <si>
    <t>5.21.3</t>
  </si>
  <si>
    <t>尽快 V</t>
  </si>
  <si>
    <t>jǐnkuài V</t>
  </si>
  <si>
    <t>as soon as possible</t>
  </si>
  <si>
    <t>新产品出了点儿问题，你和严经理尽快商量一下这事。</t>
  </si>
  <si>
    <t>The new product has some problems. You should discuss with Manager Yan as soon as you can.</t>
  </si>
  <si>
    <t>https://chinesezerotohero.teachable.com/courses/302483/lectures/5517730</t>
  </si>
  <si>
    <t>5.22.1</t>
  </si>
  <si>
    <t>一旦 V</t>
  </si>
  <si>
    <t>yīdàn V</t>
  </si>
  <si>
    <t>once (something happens)</t>
  </si>
  <si>
    <t>女人一旦做了母亲，就变得矛盾了。</t>
  </si>
  <si>
    <t>Once a woman becomes a mother, she becomes torn (by conflicting [emotions])</t>
  </si>
  <si>
    <t>https://chinesezerotohero.teachable.com/courses/302483/lectures/5517731</t>
  </si>
  <si>
    <t>5.22.2</t>
  </si>
  <si>
    <t>难免</t>
  </si>
  <si>
    <t>nánmiǎn</t>
  </si>
  <si>
    <t>inevitable</t>
  </si>
  <si>
    <t>刚开始工作，这样的错误是难免的。</t>
  </si>
  <si>
    <t>At the beginning of work, such mistakes are inevitable.</t>
  </si>
  <si>
    <t>https://chinesezerotohero.teachable.com/courses/302483/lectures/5517732</t>
  </si>
  <si>
    <t>5.22.3</t>
  </si>
  <si>
    <t>自从 TIME</t>
  </si>
  <si>
    <t>zìcóng TIME</t>
  </si>
  <si>
    <t>since TIME</t>
  </si>
  <si>
    <t>自从我到北京以后，身体越来越好了。</t>
  </si>
  <si>
    <t>Since I arrived in Beijing, my body has gotten better and better.</t>
  </si>
  <si>
    <t>https://chinesezerotohero.teachable.com/courses/302483/lectures/5517733</t>
  </si>
  <si>
    <t>5.23.1</t>
  </si>
  <si>
    <t>一致</t>
  </si>
  <si>
    <t>yīzhì</t>
  </si>
  <si>
    <t>in agreement</t>
  </si>
  <si>
    <t>他们的意见不一致。</t>
  </si>
  <si>
    <t>Their opinions do not agree.</t>
  </si>
  <si>
    <t>https://chinesezerotohero.teachable.com/courses/302483/lectures/5607687</t>
  </si>
  <si>
    <t>一致 V</t>
  </si>
  <si>
    <t>yīzhì V</t>
  </si>
  <si>
    <t>unanimously</t>
  </si>
  <si>
    <t>专家们一致认为这是一种成功的产品。</t>
  </si>
  <si>
    <t>Experts agree (lit. unanimously think) that this is a successful product.</t>
  </si>
  <si>
    <t>5.23.2</t>
  </si>
  <si>
    <t>某 (M) N</t>
  </si>
  <si>
    <t>mǒu (M) N</t>
  </si>
  <si>
    <t>进行某(个)方面的训练，就可以在那方面的能力提高。</t>
  </si>
  <si>
    <t>If you receiving training in a certain discipline (lit. aspect), you will be able to improve your ability in that discipline.</t>
  </si>
  <si>
    <t>https://chinesezerotohero.teachable.com/courses/302483/lectures/5607689</t>
  </si>
  <si>
    <t>某某</t>
  </si>
  <si>
    <t>mǒumǒu</t>
  </si>
  <si>
    <t>so-and-so</t>
  </si>
  <si>
    <t>在墙上写“某某到此一游”的行为是不文明的。</t>
  </si>
  <si>
    <t>It is not civil to write “so-and-so visited here” on the wall.</t>
  </si>
  <si>
    <t>name 某/某某</t>
  </si>
  <si>
    <t>name mǒu/ mǒumǒu</t>
  </si>
  <si>
    <t>placeholder for a name</t>
  </si>
  <si>
    <t>公司业务员李某/李某某闻之大喜。</t>
  </si>
  <si>
    <t>Company salesman Li (So-and-so) heard the big joy.</t>
  </si>
  <si>
    <t>5.23.3</t>
  </si>
  <si>
    <t>幸亏……</t>
  </si>
  <si>
    <t>xìngkuī……</t>
  </si>
  <si>
    <t>thankfully…</t>
  </si>
  <si>
    <t>幸亏你提醒了我，我今天就去报名。</t>
  </si>
  <si>
    <t>Thankfully you reminded me. I am going to sign up today.</t>
  </si>
  <si>
    <t>https://chinesezerotohero.teachable.com/courses/302483/lectures/5607690</t>
  </si>
  <si>
    <t>5.24.1</t>
  </si>
  <si>
    <t>行动</t>
  </si>
  <si>
    <t>xíngdòng</t>
  </si>
  <si>
    <t>activity, action</t>
  </si>
  <si>
    <t>我们应该勇敢面对困难，迅速采取行动。</t>
  </si>
  <si>
    <t>We should meet difficulties with courage and act quickly.</t>
  </si>
  <si>
    <t>https://chinesezerotohero.teachable.com/courses/302483/lectures/5607688</t>
  </si>
  <si>
    <t>move around</t>
  </si>
  <si>
    <t>他运动时受伤了，行动不便。</t>
  </si>
  <si>
    <t>When he was doing sports he injured his feet, so it’s hard for him to move around.</t>
  </si>
  <si>
    <t>act</t>
  </si>
  <si>
    <t>有些鸟类喜欢单独行动。</t>
  </si>
  <si>
    <t>Some birds like to act alone.</t>
  </si>
  <si>
    <t>5.24.2</t>
  </si>
  <si>
    <t>义务</t>
  </si>
  <si>
    <t>yìwù</t>
  </si>
  <si>
    <t>obligation</t>
  </si>
  <si>
    <t>建设家乡，人人有责，我们也要承担这个义务。</t>
  </si>
  <si>
    <t>Everyone has the responsibility of building his/her hometown, and we should also take up this obligation.</t>
  </si>
  <si>
    <t>https://chinesezerotohero.teachable.com/courses/302483/lectures/5607691</t>
  </si>
  <si>
    <t>compulsory</t>
  </si>
  <si>
    <t>我们每个学期都要至少参加三次义务劳动。</t>
  </si>
  <si>
    <t>We must participate in at least three compulsory labor per semester.</t>
  </si>
  <si>
    <t>5.25.1</t>
  </si>
  <si>
    <t>朝</t>
  </si>
  <si>
    <t>cháo</t>
  </si>
  <si>
    <t>toward</t>
  </si>
  <si>
    <t>我仿佛看到胜利正朝我们走来。</t>
  </si>
  <si>
    <t>I seem to see victory coming towards us.</t>
  </si>
  <si>
    <t>https://chinesezerotohero.teachable.com/courses/302483/lectures/5607692</t>
  </si>
  <si>
    <t>to face toward</t>
  </si>
  <si>
    <t>我们学校的正门坐西朝东。</t>
  </si>
  <si>
    <t>The main entrance of our school is situated in the west and oriented toward the east.</t>
  </si>
  <si>
    <t>5.25.2</t>
  </si>
  <si>
    <t>简直</t>
  </si>
  <si>
    <t>jiǎnzhí</t>
  </si>
  <si>
    <t xml:space="preserve">practically, in essence </t>
  </si>
  <si>
    <t>船长简直是疯了！</t>
  </si>
  <si>
    <t>The captain is practically mad!</t>
  </si>
  <si>
    <t>https://chinesezerotohero.teachable.com/courses/302483/lectures/5607694</t>
  </si>
  <si>
    <t>5.26.1</t>
  </si>
  <si>
    <t>来</t>
  </si>
  <si>
    <t>lái</t>
  </si>
  <si>
    <t>over</t>
  </si>
  <si>
    <t>他几乎每天都能钓到5斤来重的大鱼。</t>
  </si>
  <si>
    <t>He can catch over 5 pounds (weight) of fish almost every day.</t>
  </si>
  <si>
    <t>https://chinesezerotohero.teachable.com/courses/302483/lectures/5607693</t>
  </si>
  <si>
    <t>一来(是)……二来(是)……</t>
  </si>
  <si>
    <t>yīlái( shì)…… èrlái( shì)……</t>
  </si>
  <si>
    <t>First… secondly…</t>
  </si>
  <si>
    <t>我到这里看看大家，一(来)是给大家送水果，二(来)是看看大家过节还有什么难处。</t>
  </si>
  <si>
    <t>I am here to see everyone, one [reason] is to bring fruit to everyone, another [reason] is to see if anyone has any difficulties over the holidays.</t>
  </si>
  <si>
    <t>5.26.2</t>
  </si>
  <si>
    <t>至于</t>
  </si>
  <si>
    <t>zhìyú</t>
  </si>
  <si>
    <t>as for</t>
  </si>
  <si>
    <t>我们决定明年结婚，至于具体时间还要再商量。</t>
  </si>
  <si>
    <t>We decided to get married next year. As for the specific time, we’ll have to discuss later.</t>
  </si>
  <si>
    <t>https://chinesezerotohero.teachable.com/courses/302483/lectures/5607695</t>
  </si>
  <si>
    <t>go so far as</t>
  </si>
  <si>
    <t>他不至于撒谎。</t>
  </si>
  <si>
    <t>He won’t go so far as to tell a lie.</t>
  </si>
  <si>
    <t>5.26.3</t>
  </si>
  <si>
    <t>总算</t>
  </si>
  <si>
    <t>zǒngsuàn</t>
  </si>
  <si>
    <t>finally</t>
  </si>
  <si>
    <t>经过沟通，大导演总算搞明白了。</t>
  </si>
  <si>
    <t>After communicating, the principal director has finally figured it out.</t>
  </si>
  <si>
    <t>https://chinesezerotohero.teachable.com/courses/302483/lectures/5607696</t>
  </si>
  <si>
    <t>虽然这家宾馆不太好，但总算有个睡觉的地方了。</t>
  </si>
  <si>
    <t>Although this hotel is not very good, there is finally a place to sleep.</t>
  </si>
  <si>
    <t>5.27.1</t>
  </si>
  <si>
    <t>V 下来</t>
  </si>
  <si>
    <t>V xiàlai</t>
  </si>
  <si>
    <t>你的论文大概什么时候发表？定下来了吗？</t>
  </si>
  <si>
    <t>When will your paper be published? Have you decided (lit. decided down)?</t>
  </si>
  <si>
    <t>https://chinesezerotohero.teachable.com/courses/302483/lectures/5607698</t>
  </si>
  <si>
    <t>5.27.2</t>
  </si>
  <si>
    <t>舍得</t>
  </si>
  <si>
    <t>shěde</t>
  </si>
  <si>
    <t>willing (to to let go)</t>
  </si>
  <si>
    <t>把你最喜欢的玩具送给小朋友，你舍得吗？</t>
  </si>
  <si>
    <t>Give your favorite toys to children, are you willing (to let go)?</t>
  </si>
  <si>
    <t>https://chinesezerotohero.teachable.com/courses/302483/lectures/5607697</t>
  </si>
  <si>
    <t>舍不得</t>
  </si>
  <si>
    <t>shěbude</t>
  </si>
  <si>
    <t>unwilling (to to let go)</t>
  </si>
  <si>
    <t>有些人舍不得把钱花在有意思的事情上。</t>
  </si>
  <si>
    <t>Some people are reluctant to spend money on fun things.</t>
  </si>
  <si>
    <t>5.28.1</t>
  </si>
  <si>
    <t>从此</t>
  </si>
  <si>
    <t>cóngcǐ</t>
  </si>
  <si>
    <t>since then</t>
  </si>
  <si>
    <t>从此李白刻苦用功，最后成了一位伟大的诗人。</t>
  </si>
  <si>
    <t>Since then, Li Bai has worked hard and finally became a great poet.</t>
  </si>
  <si>
    <t>https://chinesezerotohero.teachable.com/courses/302483/lectures/5607701</t>
  </si>
  <si>
    <t>5.28.2</t>
  </si>
  <si>
    <t>假设……</t>
  </si>
  <si>
    <t>jiǎshè……</t>
  </si>
  <si>
    <t>suppose …</t>
  </si>
  <si>
    <t>假设你的钱用完了呢？你该怎么办呢？</t>
  </si>
  <si>
    <t>Suppose your money is running out? What would you do?</t>
  </si>
  <si>
    <t>https://chinesezerotohero.teachable.com/courses/302483/lectures/5607699</t>
  </si>
  <si>
    <t>假设</t>
  </si>
  <si>
    <t>jiǎshè</t>
  </si>
  <si>
    <t>supposition</t>
  </si>
  <si>
    <t>您当年的假设已经被证明是对的。</t>
  </si>
  <si>
    <t>Your assumptions for the year have been proven to be correct.</t>
  </si>
  <si>
    <t>5.28.3</t>
  </si>
  <si>
    <t>堆</t>
  </si>
  <si>
    <t>duī</t>
  </si>
  <si>
    <t>a pile, a heap</t>
  </si>
  <si>
    <t>工厂旁边有一个建筑材料堆。</t>
  </si>
  <si>
    <t>There is a pile of building materials next to the factory.</t>
  </si>
  <si>
    <t>https://chinesezerotohero.teachable.com/courses/302483/lectures/5607700</t>
  </si>
  <si>
    <t>to pile, to heap</t>
  </si>
  <si>
    <t>这些零件怎么都堆在这儿啊？</t>
  </si>
  <si>
    <t>How are these parts piled up here?</t>
  </si>
  <si>
    <t>5.29.1</t>
  </si>
  <si>
    <t>不如 N A</t>
  </si>
  <si>
    <t>bùrú N A</t>
  </si>
  <si>
    <t>三家的营业额加起来还不如他一家高。</t>
  </si>
  <si>
    <t>The turnover of the three companies is not as high as his family.</t>
  </si>
  <si>
    <t>https://chinesezerotohero.teachable.com/courses/302490/lectures/5607729</t>
  </si>
  <si>
    <t>(与其)……不如……</t>
  </si>
  <si>
    <t>( yǔqí)…… bùrú……</t>
  </si>
  <si>
    <t>rather than… it’s better to</t>
  </si>
  <si>
    <t>与其待在家里，不如去外边走走。</t>
  </si>
  <si>
    <t>Instead of staying at home, it is better to go outside.</t>
  </si>
  <si>
    <t>5.29.2</t>
  </si>
  <si>
    <t>干脆 V</t>
  </si>
  <si>
    <t>gāncuì V</t>
  </si>
  <si>
    <t>simply, quick and dirty</t>
  </si>
  <si>
    <t>许多亲朋好友建议他干脆把另三家书店挤垮。</t>
  </si>
  <si>
    <t>Many relatives and friends suggested that he simply “squeeze out” the other three bookstores, [quick and dirty]. [That its, drive them out of their business.]</t>
  </si>
  <si>
    <t>https://chinesezerotohero.teachable.com/courses/302490/lectures/5607728</t>
  </si>
  <si>
    <t>干脆</t>
  </si>
  <si>
    <t>gāncuì</t>
  </si>
  <si>
    <t>decisive</t>
  </si>
  <si>
    <t>我求他帮忙，他答应得很干脆。</t>
  </si>
  <si>
    <t>I asked him for help, and he readily agreed.</t>
  </si>
  <si>
    <t>5.29.3</t>
  </si>
  <si>
    <t>万一</t>
  </si>
  <si>
    <t>wànyī</t>
  </si>
  <si>
    <t>in the unlikely case where</t>
  </si>
  <si>
    <t>如果鸡蛋都放在一个篮子里，万一不小心就有可能全部打碎。</t>
  </si>
  <si>
    <t>If all [your] eggs are placed in one basket, should an accident happen they would all be crushed.</t>
  </si>
  <si>
    <t>https://chinesezerotohero.teachable.com/courses/302490/lectures/5607731</t>
  </si>
  <si>
    <t>unlikely case, mishap</t>
  </si>
  <si>
    <t>不怕一万，就怕万一。</t>
  </si>
  <si>
    <t>We’re not afraid of the usual, just the unexpected mishap.</t>
  </si>
  <si>
    <t>5.30.1</t>
  </si>
  <si>
    <t>无意中/无意地</t>
  </si>
  <si>
    <t>wúyìzhōng/ wúyì dì</t>
  </si>
  <si>
    <t>accidentally</t>
  </si>
  <si>
    <t>她在收拾花园时，无意中/无意地找到了这只耳环。</t>
  </si>
  <si>
    <t>When she was cleaning up the garden, she accidentally found this earring.</t>
  </si>
  <si>
    <t>https://chinesezerotohero.teachable.com/courses/302490/lectures/5607730</t>
  </si>
  <si>
    <t>无意</t>
  </si>
  <si>
    <t>wúyì</t>
  </si>
  <si>
    <t>no intention to</t>
  </si>
  <si>
    <t>他无意伤害任何人。</t>
  </si>
  <si>
    <t>He has no intention to hurt anyone.</t>
  </si>
  <si>
    <t>5.30.2</t>
  </si>
  <si>
    <t>有利</t>
  </si>
  <si>
    <t>yǒulì</t>
  </si>
  <si>
    <t>to be beneficial</t>
  </si>
  <si>
    <t>适度的压力有利于我们保持良好的状态。</t>
  </si>
  <si>
    <t>Moderate pressure helps us stay in good shape.</t>
  </si>
  <si>
    <t>https://chinesezerotohero.teachable.com/courses/302490/lectures/5607732</t>
  </si>
  <si>
    <t>5.30.3</t>
  </si>
  <si>
    <t>的确</t>
  </si>
  <si>
    <t>díquè</t>
  </si>
  <si>
    <t>他的确是我所教过的学生中最聪明的。</t>
  </si>
  <si>
    <t>He is indeed the smartest of the students I have taught.</t>
  </si>
  <si>
    <t>https://chinesezerotohero.teachable.com/courses/302490/lectures/5607733</t>
  </si>
  <si>
    <t>5.31.1</t>
  </si>
  <si>
    <t>嗯</t>
  </si>
  <si>
    <t>èn</t>
  </si>
  <si>
    <t>Yep</t>
  </si>
  <si>
    <t>A：吃了吗？B：嗯，吃了。</t>
  </si>
  <si>
    <t>A: Have you eaten? B: Yep, I did.</t>
  </si>
  <si>
    <t>https://chinesezerotohero.teachable.com/courses/302490/lectures/5607734</t>
  </si>
  <si>
    <t>嗯？</t>
  </si>
  <si>
    <t>èn？</t>
  </si>
  <si>
    <t>Huh?</t>
  </si>
  <si>
    <t>嗯？难道是我记错了？</t>
  </si>
  <si>
    <t>Hmm… Is it that I remember correctly?</t>
  </si>
  <si>
    <t>嗯！</t>
  </si>
  <si>
    <t>èn！</t>
  </si>
  <si>
    <t>Man…!</t>
  </si>
  <si>
    <t>嗯！你怎么还没走啊？</t>
  </si>
  <si>
    <t>(Man…) Why haven't you left yet?</t>
  </si>
  <si>
    <t>5.31.2</t>
  </si>
  <si>
    <t>轻易地 V</t>
  </si>
  <si>
    <t>qīngyì dì V</t>
  </si>
  <si>
    <t>easily</t>
  </si>
  <si>
    <t>他学什么都可以很轻易地记住。</t>
  </si>
  <si>
    <t>What he can learn can be easily remembered.</t>
  </si>
  <si>
    <t>轻易 V</t>
  </si>
  <si>
    <t>qīngyì V</t>
  </si>
  <si>
    <t>frivolously</t>
  </si>
  <si>
    <t>他从不轻易决定，决定了就不轻易转变。</t>
  </si>
  <si>
    <t>He never decided easily, and he decided not to change easily.</t>
  </si>
  <si>
    <t>5.32.1</t>
  </si>
  <si>
    <t>密切</t>
  </si>
  <si>
    <t>mìqiè</t>
  </si>
  <si>
    <t>closely</t>
  </si>
  <si>
    <t>污染和我们的日常生活密切相关。</t>
  </si>
  <si>
    <t>Pollution is closely related to our daily lives.</t>
  </si>
  <si>
    <t>https://chinesezerotohero.teachable.com/courses/302490/lectures/5607735</t>
  </si>
  <si>
    <t>close (in relationship)</t>
  </si>
  <si>
    <t>从此，两人来往比先前密切了。</t>
  </si>
  <si>
    <t>Since then, the two have been closer than [ever] before.</t>
  </si>
  <si>
    <t>https://chinesezerotohero.teachable.com/courses/302490/lectures/5607736</t>
  </si>
  <si>
    <t>to strengthen</t>
  </si>
  <si>
    <t>这条铁路大大密切了西南地区与首都的联系。</t>
  </si>
  <si>
    <t>This railway has greatly strengthened the connection between the southwest and the capital.</t>
  </si>
  <si>
    <t>5.32.2</t>
  </si>
  <si>
    <t>尽量 (jǐnliàng)</t>
  </si>
  <si>
    <t>jǐnliàng (jǐnliàng)</t>
  </si>
  <si>
    <t>as … as possible</t>
  </si>
  <si>
    <t>尽量多骑自行车，多选择公共交通。</t>
  </si>
  <si>
    <t>Try to cycle as much as possible, and choose [to use] public transportation as much as possible.</t>
  </si>
  <si>
    <t>https://chinesezerotohero.teachable.com/courses/302490/lectures/5607737</t>
  </si>
  <si>
    <t>5.32.3</t>
  </si>
  <si>
    <t>逐步</t>
  </si>
  <si>
    <t>zhúbù</t>
  </si>
  <si>
    <t>step by step</t>
  </si>
  <si>
    <t>调整能源消费结构，逐步向可再生能源转变。</t>
  </si>
  <si>
    <t>Adjust energy consumption structure and gradually shift to renewable energy.</t>
  </si>
  <si>
    <t>https://chinesezerotohero.teachable.com/courses/302490/lectures/5607739</t>
  </si>
  <si>
    <t>5.33.1</t>
  </si>
  <si>
    <t>照常</t>
  </si>
  <si>
    <t>zhàocháng</t>
  </si>
  <si>
    <t>as usual</t>
  </si>
  <si>
    <t>虽然战争临近，但这里的日常生活，一切照常。</t>
  </si>
  <si>
    <t>Although the war is approaching, everyday life here is as usual.</t>
  </si>
  <si>
    <t>https://chinesezerotohero.teachable.com/courses/302490/lectures/5607738</t>
  </si>
  <si>
    <t>5.33.2</t>
  </si>
  <si>
    <t>难怪/怪不得</t>
  </si>
  <si>
    <t>nánguài/ guàibude</t>
  </si>
  <si>
    <t>no wonder</t>
  </si>
  <si>
    <t>你的抽屉真乱，难怪/怪不得总是找不到东西。</t>
  </si>
  <si>
    <t>Your drawer is really messy, no wonder you can never find [your] things.</t>
  </si>
  <si>
    <t>https://chinesezerotohero.teachable.com/courses/302490/lectures/5607740</t>
  </si>
  <si>
    <t>understandable</t>
  </si>
  <si>
    <t>他从来不操心孩子的事。这也难怪/怪不得，他那么忙，哪儿有时间啊。</t>
  </si>
  <si>
    <t>He never concerns [himself] with his children’s problems (lit. matters). But that’s no surprise. He’s so busy, how could he find the time?</t>
  </si>
  <si>
    <t>https://chinesezerotohero.teachable.com/courses/302490/lectures/5607741</t>
  </si>
  <si>
    <t>5.33.3</t>
  </si>
  <si>
    <t>与其……(倒)不如……</t>
  </si>
  <si>
    <t>yǔqí……( dǎo) bùrú……</t>
  </si>
  <si>
    <t>Instead of… it’s better to…</t>
  </si>
  <si>
    <t>与其堵在路上，倒不如改乘公交出行。</t>
  </si>
  <si>
    <t>Instead of being stuck on the road, it would be better to use public transit instead.</t>
  </si>
  <si>
    <t>5.34.1</t>
  </si>
  <si>
    <t>总之</t>
  </si>
  <si>
    <t>zǒngzhī</t>
  </si>
  <si>
    <t>In short</t>
  </si>
  <si>
    <t>我想去上海、南京，杭州……总之想去南方转转。</t>
  </si>
  <si>
    <t>I want to go to Shanghai, Nanjing, Hangzhou... In short, I want to go south.</t>
  </si>
  <si>
    <t>https://chinesezerotohero.teachable.com/courses/302490/lectures/5607742</t>
  </si>
  <si>
    <t>5.34.2</t>
  </si>
  <si>
    <t>他转过身，一句话也不说。</t>
  </si>
  <si>
    <t>He turned (his body) away, and didn’t say a word.</t>
  </si>
  <si>
    <t>https://chinesezerotohero.teachable.com/courses/302490/lectures/5607743</t>
  </si>
  <si>
    <t>V over, V by</t>
  </si>
  <si>
    <t>短短的几分钟里，我的脑子里闪过了很多想法。</t>
  </si>
  <si>
    <t>In as little as a few minutes, many thoughts flashed by my mind.</t>
  </si>
  <si>
    <t>5.34.3</t>
  </si>
  <si>
    <t>V 开</t>
  </si>
  <si>
    <t>V kāi</t>
  </si>
  <si>
    <t>V open</t>
  </si>
  <si>
    <t>猴子突然站了起来，张开手臂抱住了管理员。</t>
  </si>
  <si>
    <t>The monkey suddenly stood up and opened his arm and hugged the zookeeper.</t>
  </si>
  <si>
    <t>https://chinesezerotohero.teachable.com/courses/302490/lectures/5607744</t>
  </si>
  <si>
    <t>5.35.1</t>
  </si>
  <si>
    <t>赶快</t>
  </si>
  <si>
    <t>gǎnkuài</t>
  </si>
  <si>
    <t>quickly, urgently</t>
  </si>
  <si>
    <t>我下个月要搬家， 得赶快找房子。</t>
  </si>
  <si>
    <t>I have to move next month, I have to find housing quickly.</t>
  </si>
  <si>
    <t>https://chinesezerotohero.teachable.com/courses/302490/lectures/5607745</t>
  </si>
  <si>
    <t>5.35.2</t>
  </si>
  <si>
    <t>片</t>
  </si>
  <si>
    <t>piàn</t>
  </si>
  <si>
    <t>a piece of</t>
  </si>
  <si>
    <t>天上飘着一片云。</t>
  </si>
  <si>
    <t>There is a cloud in the sky.</t>
  </si>
  <si>
    <t>https://chinesezerotohero.teachable.com/courses/302490/lectures/5607746</t>
  </si>
  <si>
    <t>a wave of</t>
  </si>
  <si>
    <t>同学们听了，发出一片热烈的欢呼声。</t>
  </si>
  <si>
    <t>The students listened and gave a (wave of) warm cheer.</t>
  </si>
  <si>
    <t>5.35.3</t>
  </si>
  <si>
    <t>根本 + negative</t>
  </si>
  <si>
    <t>gēnběn + negative</t>
  </si>
  <si>
    <t>at all</t>
  </si>
  <si>
    <t>我发现自己根本读不懂考试题。</t>
  </si>
  <si>
    <t>I found myself unable to read the exam questions at all.</t>
  </si>
  <si>
    <t>https://chinesezerotohero.teachable.com/courses/302490/lectures/5607747</t>
  </si>
  <si>
    <t>根本</t>
  </si>
  <si>
    <t>gēnběn</t>
  </si>
  <si>
    <t>root cause, fundamental</t>
  </si>
  <si>
    <t>教育是国家的根本。</t>
  </si>
  <si>
    <t>Education is the foundation of the country.</t>
  </si>
  <si>
    <t>根本 肯定</t>
  </si>
  <si>
    <t>gēnběn kěndìng</t>
  </si>
  <si>
    <t>completely</t>
  </si>
  <si>
    <t>事情已经根本解决了。</t>
  </si>
  <si>
    <t>Things have been completely (lit. from the root) solved.</t>
  </si>
  <si>
    <t>根本(就)是</t>
  </si>
  <si>
    <t>gēnběn( jiù) shì</t>
  </si>
  <si>
    <t>simply</t>
  </si>
  <si>
    <t>他根本就是在故意找我们的麻烦。</t>
  </si>
  <si>
    <t>He is simply trying to make trouble for us.</t>
  </si>
  <si>
    <t>5.36.1</t>
  </si>
  <si>
    <t>除非……否则……</t>
  </si>
  <si>
    <t>chúfēi…… fǒuzé……</t>
  </si>
  <si>
    <t>unless</t>
  </si>
  <si>
    <t>除非再给我一个星期，否则我们无法完成任务。</t>
  </si>
  <si>
    <t>Unless you give me another week, (otherwise) we can't complete the task.</t>
  </si>
  <si>
    <t>https://chinesezerotohero.teachable.com/courses/302490/lectures/5607748</t>
  </si>
  <si>
    <t>(除非)……才……</t>
  </si>
  <si>
    <t>( chúfēi)…… cái……</t>
  </si>
  <si>
    <t>(除非)你答应我的条件，我才告诉你。</t>
  </si>
  <si>
    <t>(Unless) you promise me, I won’t tell you.</t>
  </si>
  <si>
    <t>除非</t>
  </si>
  <si>
    <t>chúfēi</t>
  </si>
  <si>
    <t>except</t>
  </si>
  <si>
    <t>这种机器，除非李阳，没人修得好。</t>
  </si>
  <si>
    <t>This kind of machine, except Li Yang, no one can fix.</t>
  </si>
  <si>
    <t>5.36.2</t>
  </si>
  <si>
    <t>V1 得 (O) 直 V2</t>
  </si>
  <si>
    <t>V1 dé (O) zhí V2</t>
  </si>
  <si>
    <t>V1 O so much that O V2</t>
  </si>
  <si>
    <t>父亲听说儿子卖了房子，气得(他)直发抖。</t>
  </si>
  <si>
    <t>The father heard that his son had sold the house. He was so angry that he kept on shivering.</t>
  </si>
  <si>
    <t>https://chinesezerotohero.teachable.com/courses/302490/lectures/5607749</t>
  </si>
  <si>
    <t>直到</t>
  </si>
  <si>
    <t>zhídào</t>
  </si>
  <si>
    <t>untill</t>
  </si>
  <si>
    <t>直到今天，我也不明白他当时为什么发那么大脾气。</t>
  </si>
  <si>
    <t>Until today, I don’t understand why he had such a bad temper at the time.</t>
  </si>
  <si>
    <t>5.36.3</t>
  </si>
  <si>
    <t>反正</t>
  </si>
  <si>
    <t>fǎnzhèng</t>
  </si>
  <si>
    <t>anyway</t>
  </si>
  <si>
    <t>不管你们谁去，反正我不会去。</t>
  </si>
  <si>
    <t>I don’t care if any of you go. I won’t go anyway.</t>
  </si>
  <si>
    <t>https://chinesezerotohero.teachable.com/courses/302490/lectures/5607750</t>
  </si>
  <si>
    <t>5.A01</t>
  </si>
  <si>
    <t># 点 ##</t>
  </si>
  <si>
    <t># diǎn ##</t>
  </si>
  <si>
    <t># point ##</t>
  </si>
  <si>
    <t>三点一四</t>
  </si>
  <si>
    <t>5.A02</t>
  </si>
  <si>
    <t>#1 分之 #2</t>
  </si>
  <si>
    <t>#1 fēnzhī #2</t>
  </si>
  <si>
    <t>#2 #1-th (fraction)</t>
  </si>
  <si>
    <t>五分之一</t>
  </si>
  <si>
    <t>百分之 #</t>
  </si>
  <si>
    <t>bǎifēnzhī #</t>
  </si>
  <si>
    <t># percent</t>
  </si>
  <si>
    <t>百分之九</t>
  </si>
  <si>
    <t>9 percent</t>
  </si>
  <si>
    <t>5.A03</t>
  </si>
  <si>
    <t>甲乙丙丁</t>
  </si>
  <si>
    <t>jiǎyǐ bǐng dīng</t>
  </si>
  <si>
    <t>A, B, C, D (series)</t>
  </si>
  <si>
    <t>如果乙方同意，甲方可以可以提前把产品交给乙方。</t>
  </si>
  <si>
    <t>If Party B agrees, Party A may give the product to Party B in advance.</t>
  </si>
  <si>
    <t>5.A04</t>
  </si>
  <si>
    <t>顺(着)</t>
  </si>
  <si>
    <t>shùn( zhe)</t>
  </si>
  <si>
    <t>along</t>
  </si>
  <si>
    <t>汗水顺着他的脸往下流。</t>
  </si>
  <si>
    <t>The sweat flowed down (along) his face.</t>
  </si>
  <si>
    <t>5.A05</t>
  </si>
  <si>
    <t>自</t>
  </si>
  <si>
    <t>zì</t>
  </si>
  <si>
    <t>from</t>
  </si>
  <si>
    <t>鸟类能觉察得出地球自北向南磁极的磁力线。</t>
  </si>
  <si>
    <t>Birds can perceive the magnetic field lines from the earth’s north magnetic pole to the south magnetic pole.</t>
  </si>
  <si>
    <t>5.A06</t>
  </si>
  <si>
    <t>把……V 着</t>
  </si>
  <si>
    <t>bǎ……V zhe</t>
  </si>
  <si>
    <t>(imperative)</t>
  </si>
  <si>
    <t>你把书带着。</t>
  </si>
  <si>
    <t>Bring your book.</t>
  </si>
  <si>
    <t>把 O (给) V 了</t>
  </si>
  <si>
    <t>bǎ O ( gěi) V le</t>
  </si>
  <si>
    <t>have V’ed the O</t>
  </si>
  <si>
    <t>我把这事(给)忘了。</t>
  </si>
  <si>
    <t>I forgot about this matter.</t>
  </si>
  <si>
    <t>5.A07</t>
  </si>
  <si>
    <t>给</t>
  </si>
  <si>
    <t>gěi</t>
  </si>
  <si>
    <t>(See 被)</t>
  </si>
  <si>
    <t>我的手机给小偷偷走了。</t>
  </si>
  <si>
    <t>My mobile phone was stolen by the thief.</t>
  </si>
  <si>
    <t>5.A08</t>
  </si>
  <si>
    <t>何不</t>
  </si>
  <si>
    <t>hébù</t>
  </si>
  <si>
    <t>why not</t>
  </si>
  <si>
    <t>天气这么好，何不出去玩儿玩儿呢？</t>
  </si>
  <si>
    <t>The weather is so good, why not go out and play?</t>
  </si>
  <si>
    <t>5.A09</t>
  </si>
  <si>
    <t>何尝</t>
  </si>
  <si>
    <t>hécháng</t>
  </si>
  <si>
    <t>why wouldn’t</t>
  </si>
  <si>
    <t>我何尝不想买一所大房子呢？</t>
  </si>
  <si>
    <t>Why wouldn’t I want to buy a big house?</t>
  </si>
  <si>
    <t>5.A10</t>
  </si>
  <si>
    <t>何至于</t>
  </si>
  <si>
    <t>hé zhìyú</t>
  </si>
  <si>
    <t>why must</t>
  </si>
  <si>
    <t>你何至于生这么大的气呢？</t>
  </si>
  <si>
    <t>Why do you have to get so angry?</t>
  </si>
  <si>
    <t>5.A11</t>
  </si>
  <si>
    <t>V 了个 RESULT</t>
  </si>
  <si>
    <t>V le gè RESULT</t>
  </si>
  <si>
    <t>V to RESULT</t>
  </si>
  <si>
    <t>我们喝了个痛快。</t>
  </si>
  <si>
    <t>We drank to [our] satisfaction.</t>
  </si>
  <si>
    <t>5.A12</t>
  </si>
  <si>
    <t>据说……</t>
  </si>
  <si>
    <t>jùshuō……</t>
  </si>
  <si>
    <t>It is said that…</t>
  </si>
  <si>
    <t>据说，他年轻时曾经一个人去过非洲大森林。</t>
  </si>
  <si>
    <t>It is said that at one time he went to the great forest in Africa when he was young.</t>
  </si>
  <si>
    <t>5.A13</t>
  </si>
  <si>
    <t>因而</t>
  </si>
  <si>
    <t>yīn'ér</t>
  </si>
  <si>
    <t>这条河河道很窄，因而容易发生水灾。</t>
  </si>
  <si>
    <t>The river is narrow and is therefore prone to flooding.</t>
  </si>
  <si>
    <t>5.A14</t>
  </si>
  <si>
    <t>也</t>
  </si>
  <si>
    <t>yě</t>
  </si>
  <si>
    <t>still</t>
  </si>
  <si>
    <t>你不想干也得干。</t>
  </si>
  <si>
    <t>You still have to do it even if you don’t want to.</t>
  </si>
  <si>
    <t>5.A15</t>
  </si>
  <si>
    <t>再……也……</t>
  </si>
  <si>
    <t>zài…… yě……</t>
  </si>
  <si>
    <t>no matter how</t>
  </si>
  <si>
    <t>我再累也要把作业做完。</t>
  </si>
  <si>
    <t>No matter how tired I am, I need to finish my homework.</t>
  </si>
  <si>
    <t>6.01.1</t>
  </si>
  <si>
    <t>巴不得</t>
  </si>
  <si>
    <t>bābude</t>
  </si>
  <si>
    <t>be only too eager to</t>
  </si>
  <si>
    <t>我巴不得他们能真的和好，从此以后和和睦睦过日子。</t>
  </si>
  <si>
    <t>I only wish that they could really be reconciled and lived in harmony from now on.</t>
  </si>
  <si>
    <t>https://chinesezerotohero.teachable.com/courses/302494/lectures/6103026</t>
  </si>
  <si>
    <t>6.01.2</t>
  </si>
  <si>
    <t>别提多……了</t>
  </si>
  <si>
    <t>bié tíduō…… le</t>
  </si>
  <si>
    <t>indescribably</t>
  </si>
  <si>
    <t>这个人办事，别提多负责了。</t>
  </si>
  <si>
    <t>This person does things, don't mention more responsibility.</t>
  </si>
  <si>
    <t>https://chinesezerotohero.teachable.com/courses/302494/lectures/6103027</t>
  </si>
  <si>
    <t>6.01.3</t>
  </si>
  <si>
    <t>具有语体差别的同义词</t>
  </si>
  <si>
    <t>jùyǒu yǔ tǐ chà biéde tóngyìcí</t>
  </si>
  <si>
    <t>synonyms that differ by style</t>
  </si>
  <si>
    <t>他便/就回答说/道：“将/把这只戒指拿去吧。”</t>
  </si>
  <si>
    <t>Then he just said, “Take this ring.”</t>
  </si>
  <si>
    <t>https://chinesezerotohero.teachable.com/courses/302494/lectures/6103030</t>
  </si>
  <si>
    <t>6.02.1</t>
  </si>
  <si>
    <t>恨不得</t>
  </si>
  <si>
    <t>hènbude</t>
  </si>
  <si>
    <t>to wish (badly)</t>
  </si>
  <si>
    <t>工作忙的时候，她恨不得一个人干两个人的活儿。</t>
  </si>
  <si>
    <t>When the work [gets] busy, she wished [she could] do two people’s work all by herself.</t>
  </si>
  <si>
    <t>https://chinesezerotohero.teachable.com/courses/302494/lectures/6103029</t>
  </si>
  <si>
    <t>6.02.2</t>
  </si>
  <si>
    <t>顿时</t>
  </si>
  <si>
    <t>dùnshí</t>
  </si>
  <si>
    <t>suddenly</t>
  </si>
  <si>
    <t>听了医生的话，顿时，他的心里又燃起了希望。</t>
  </si>
  <si>
    <t>After hearing to the doctor's words, suddenly, his heart lit up hope again.</t>
  </si>
  <si>
    <t>https://chinesezerotohero.teachable.com/courses/302494/lectures/6103028</t>
  </si>
  <si>
    <t>6.02.3</t>
  </si>
  <si>
    <t>不由得</t>
  </si>
  <si>
    <t>bùyóude</t>
  </si>
  <si>
    <t>can’t help but to</t>
  </si>
  <si>
    <t>李朋带病上场参加比赛了，我不由得有些担心。</t>
  </si>
  <si>
    <t>Li Peng was sick and went to the competition. I couldn't help but worry (somewhat).</t>
  </si>
  <si>
    <t>https://chinesezerotohero.teachable.com/courses/302494/lectures/6110312</t>
  </si>
  <si>
    <t>6.03.1</t>
  </si>
  <si>
    <t>V # 番</t>
  </si>
  <si>
    <t>V # fān</t>
  </si>
  <si>
    <t>V’ed # times over</t>
  </si>
  <si>
    <t>他打量了我一番，到嘴边的话又不说了。</t>
  </si>
  <si>
    <t>He sized me up (once over) and swallowed his words. (Lit. [As for] the words that [came] to the edge of his mouth, he [changed his mind] again and didn’t utter them.)</t>
  </si>
  <si>
    <t>https://chinesezerotohero.teachable.com/courses/302494/lectures/6125593</t>
  </si>
  <si>
    <t>番</t>
  </si>
  <si>
    <t>fān</t>
  </si>
  <si>
    <t>(measure word for tumultuous events)</t>
  </si>
  <si>
    <t>经过了几番风雨，他才懂得人生的价值。</t>
  </si>
  <si>
    <t>Only after a few (times of) setbacks (lit. storms), he understood the value of life.</t>
  </si>
  <si>
    <t>翻 (#) 番</t>
  </si>
  <si>
    <t>fān (#) fān</t>
  </si>
  <si>
    <t>multiply # times</t>
  </si>
  <si>
    <t>和五年前比，多数人的工资已经翻番了。</t>
  </si>
  <si>
    <t>Compared to five years ago, most people’s wages have doubled.</t>
  </si>
  <si>
    <t>https://chinesezerotohero.teachable.com/courses/302494/lectures/6125599</t>
  </si>
  <si>
    <t>6.03.2</t>
  </si>
  <si>
    <t>过于</t>
  </si>
  <si>
    <t>guòyú</t>
  </si>
  <si>
    <t>too</t>
  </si>
  <si>
    <t>他出来得过于匆忙，居然忘了带手机。</t>
  </si>
  <si>
    <t>He came out too hurriedly and forgot to bring his mobile phone.</t>
  </si>
  <si>
    <t>6.03.3</t>
  </si>
  <si>
    <t>着呢</t>
  </si>
  <si>
    <t>zhene</t>
  </si>
  <si>
    <t>state + emphasis</t>
  </si>
  <si>
    <t>这儿坐吧，这个位空着呢。</t>
  </si>
  <si>
    <t>Sit here, this seat is vacant (which you perhaps didn’t know).</t>
  </si>
  <si>
    <t>https://chinesezerotohero.teachable.com/courses/302494/lectures/6125594</t>
  </si>
  <si>
    <t>6.04.1</t>
  </si>
  <si>
    <t>乘机</t>
  </si>
  <si>
    <t>chéngjī</t>
  </si>
  <si>
    <t>take this opportunity and</t>
  </si>
  <si>
    <t>这次出差去北京，我们可以乘机游览一下长城。</t>
  </si>
  <si>
    <t>On this business trip to Beijing, we can take the opportunity and take a tour of the Great Wall.</t>
  </si>
  <si>
    <t>https://chinesezerotohero.teachable.com/courses/302494/lectures/6125595</t>
  </si>
  <si>
    <t>6.04.2</t>
  </si>
  <si>
    <t>不料</t>
  </si>
  <si>
    <t>bùliào</t>
  </si>
  <si>
    <t>who would have thought</t>
  </si>
  <si>
    <t>我只想和她开个玩笑，不料她却生气了。</t>
  </si>
  <si>
    <t>I just wanted to joke with her, but who would have thought she got angry.</t>
  </si>
  <si>
    <t>https://chinesezerotohero.teachable.com/courses/302494/lectures/6125596</t>
  </si>
  <si>
    <t>6.04.3</t>
  </si>
  <si>
    <t>未免+太+A+了</t>
  </si>
  <si>
    <t>wèimiǎn+ tài+A+ le</t>
  </si>
  <si>
    <t>can’t say it’s not too A</t>
  </si>
  <si>
    <t>警察赶到时未免太迟了。</t>
  </si>
  <si>
    <t>The police arrived rather too late. (Lit. you can’t say they didn’t arrive too late.)</t>
  </si>
  <si>
    <t>https://chinesezerotohero.teachable.com/courses/302494/lectures/6125597</t>
  </si>
  <si>
    <t>未免+有些/有点+A</t>
  </si>
  <si>
    <t>wèimiǎn+ yǒuxiē/ yǒudiǎn+A</t>
  </si>
  <si>
    <t>can’t say it’s not a bit A</t>
  </si>
  <si>
    <t>拒绝他的建议未免有些/有点失礼。</t>
  </si>
  <si>
    <t>It’s rather a bit rude to reject his suggestions. (Lit. you can’t say it’s not rude.)</t>
  </si>
  <si>
    <t>6.05.1</t>
  </si>
  <si>
    <t>仅仅/只不过……而已</t>
  </si>
  <si>
    <t>jǐnjǐn/ zhǐbuguò…… éryǐ</t>
  </si>
  <si>
    <t>only</t>
  </si>
  <si>
    <t>他的工作是警察， 写小说仅仅是他的业余爱好而已。</t>
  </si>
  <si>
    <t>His works as a policeman, and writing novels is just his hobby (that’s all).</t>
  </si>
  <si>
    <t>https://chinesezerotohero.teachable.com/courses/302494/lectures/6144561</t>
  </si>
  <si>
    <t>6.05.2</t>
  </si>
  <si>
    <t>固然</t>
  </si>
  <si>
    <t>gùrán</t>
  </si>
  <si>
    <t>granted</t>
  </si>
  <si>
    <t>考上大学固然好，没考上大学也不是就没有出路了。</t>
  </si>
  <si>
    <t>Granted, it’s good to go to college, [but even if] you don’t go to college it doesn’t mean you have no way out.</t>
  </si>
  <si>
    <t>https://chinesezerotohero.teachable.com/courses/302494/lectures/6144560</t>
  </si>
  <si>
    <t>6.05.3</t>
  </si>
  <si>
    <t>无非</t>
  </si>
  <si>
    <t>wúfēi</t>
  </si>
  <si>
    <t>他这么努力地工作，无非想多挣些钱，让妻子、孩子生活得更舒适。</t>
  </si>
  <si>
    <t>He works so hard, simply [because] he wants to make more money and make his wife and children live more comfortably.</t>
  </si>
  <si>
    <t>https://chinesezerotohero.teachable.com/courses/302494/lectures/6144563</t>
  </si>
  <si>
    <t>6.06.1</t>
  </si>
  <si>
    <t>唯独</t>
  </si>
  <si>
    <t>wéidú</t>
  </si>
  <si>
    <t>那次旅行大家都去了，唯独你没有去成。</t>
  </si>
  <si>
    <t>Everyone went on that trip, only you didn't go.</t>
  </si>
  <si>
    <t>https://chinesezerotohero.teachable.com/courses/302494/lectures/6144562</t>
  </si>
  <si>
    <t>6.06.2</t>
  </si>
  <si>
    <t>明明</t>
  </si>
  <si>
    <t>míngmíng</t>
  </si>
  <si>
    <t>obviously</t>
  </si>
  <si>
    <t>你唱的明明是流行歌曲，哪里是京剧啊？</t>
  </si>
  <si>
    <t>What you are singing is obviously a pop song, how can you [say] it’s Beijing opera?</t>
  </si>
  <si>
    <t>https://chinesezerotohero.teachable.com/courses/302494/lectures/6144565</t>
  </si>
  <si>
    <t>6.06.3</t>
  </si>
  <si>
    <t>大不了……</t>
  </si>
  <si>
    <t>dàbùliǎo……</t>
  </si>
  <si>
    <t>If the worst came to the worst, …</t>
  </si>
  <si>
    <t>失败了不要紧，大不了从头再来。</t>
  </si>
  <si>
    <t>It doesn't matter if you fail. If the worst came to the worst, you can start from scratch again.</t>
  </si>
  <si>
    <t>https://chinesezerotohero.teachable.com/courses/302494/lectures/6144564</t>
  </si>
  <si>
    <t>大不了的</t>
  </si>
  <si>
    <t>dàbùliǎo de</t>
  </si>
  <si>
    <t>big deal</t>
  </si>
  <si>
    <t>接个吻有什么大不了的？</t>
  </si>
  <si>
    <t>What's the big deal with a kiss?</t>
  </si>
  <si>
    <t>6.07.1</t>
  </si>
  <si>
    <t>V 于 PLACE</t>
  </si>
  <si>
    <t>V yú PLACE</t>
  </si>
  <si>
    <t>V in PLACE</t>
  </si>
  <si>
    <t>著名的西湖龙井茶产于浙江看的西湖一带。</t>
  </si>
  <si>
    <t>The famous West Lake Longjing tea is produced in the West Lake area in Zhejiang.</t>
  </si>
  <si>
    <t>https://chinesezerotohero.teachable.com/courses/302494/lectures/6282874</t>
  </si>
  <si>
    <t>A 于 V</t>
  </si>
  <si>
    <t>A yú V</t>
  </si>
  <si>
    <t>A to V</t>
  </si>
  <si>
    <t>做决定，需要勇于承担责任。</t>
  </si>
  <si>
    <t>To make a decision, you need to be courageous to take responsibility.</t>
  </si>
  <si>
    <t>6.07.2</t>
  </si>
  <si>
    <t>致使</t>
  </si>
  <si>
    <t>zhìshǐ</t>
  </si>
  <si>
    <t>to cause</t>
  </si>
  <si>
    <t>他的粗心致使试验失败。</t>
  </si>
  <si>
    <t>His carelessness caused the test to fail.</t>
  </si>
  <si>
    <t>https://chinesezerotohero.teachable.com/courses/302494/lectures/6282875</t>
  </si>
  <si>
    <t>6.07.3</t>
  </si>
  <si>
    <t>not (with emphasis, see “并”4.04.3)</t>
  </si>
  <si>
    <t>类似小王这样的年轻人并非少数。</t>
  </si>
  <si>
    <t>Young people like Xiao Wang are not a minority.</t>
  </si>
  <si>
    <t>https://chinesezerotohero.teachable.com/courses/302494/lectures/6282876</t>
  </si>
  <si>
    <t>6.08.1</t>
  </si>
  <si>
    <t>对 N 而言</t>
  </si>
  <si>
    <t>duì N éryán</t>
  </si>
  <si>
    <t>for N (see 4.05.4 “对……来说”)</t>
  </si>
  <si>
    <t>对今天的中国而言，经济发展必须坚持走可持续发展的道路。</t>
  </si>
  <si>
    <t>For today's China, economic development must adhere to the path of sustainable development.</t>
  </si>
  <si>
    <t>https://chinesezerotohero.teachable.com/courses/302494/lectures/6282877</t>
  </si>
  <si>
    <t>6.08.2</t>
  </si>
  <si>
    <t>有关 N</t>
  </si>
  <si>
    <t>yǒuguān N</t>
  </si>
  <si>
    <t>他查阅了大量有关服饰问题的资料。</t>
  </si>
  <si>
    <t>He consulted a lot of information about clothing issues.</t>
  </si>
  <si>
    <t>https://chinesezerotohero.teachable.com/courses/302494/lectures/6282878</t>
  </si>
  <si>
    <t>和 N 有关</t>
  </si>
  <si>
    <t>hé N yǒuguān</t>
  </si>
  <si>
    <t>related to N</t>
  </si>
  <si>
    <t>中国的语文教学向来重视识字，这固然和汉字的特点有关。</t>
  </si>
  <si>
    <t>Chinese language teaching has always attached importance to literacy, which is of course related to the characteristics of Chinese characters.</t>
  </si>
  <si>
    <t>6.08.3</t>
  </si>
  <si>
    <t>不瞒你说</t>
  </si>
  <si>
    <t>bù mán nǐ shuō</t>
  </si>
  <si>
    <t>actually</t>
  </si>
  <si>
    <t>不瞒你说，对这个问题，我是这样想的。</t>
  </si>
  <si>
    <t>To tell you the truth, regarding this question, this is what I think.</t>
  </si>
  <si>
    <t>https://chinesezerotohero.teachable.com/courses/302494/lectures/6282881</t>
  </si>
  <si>
    <t>说真的/说实在的</t>
  </si>
  <si>
    <t>shuō zhēn de/ shuō shízài de</t>
  </si>
  <si>
    <t>indeed, truthfully</t>
  </si>
  <si>
    <t>说真的，这次真是孩子给我上了一课。</t>
  </si>
  <si>
    <t>Seriously, this time the child really gave me a lesson.</t>
  </si>
  <si>
    <t>6.09.1</t>
  </si>
  <si>
    <t>通红、雪白</t>
  </si>
  <si>
    <t>tōnghóng、 xuěbái</t>
  </si>
  <si>
    <t>very red, very white</t>
  </si>
  <si>
    <t>我脸憋得通红。</t>
  </si>
  <si>
    <t>My face is red from suffocation.</t>
  </si>
  <si>
    <t>https://chinesezerotohero.teachable.com/courses/302494/lectures/6282879</t>
  </si>
  <si>
    <t>6.09.2</t>
  </si>
  <si>
    <t>说 V/A 就 V/A</t>
  </si>
  <si>
    <t>shuō V/A jiù V/A</t>
  </si>
  <si>
    <t>V without thinking, be A without thinking</t>
  </si>
  <si>
    <t>挺好的工作，怎么说不干就不干了？</t>
  </si>
  <si>
    <t>Very good job, how come you quit just like that (without thinking)?</t>
  </si>
  <si>
    <t>https://chinesezerotohero.teachable.com/courses/302494/lectures/6282880</t>
  </si>
  <si>
    <t>6.09.3</t>
  </si>
  <si>
    <t>V/A 得要命</t>
  </si>
  <si>
    <t>V/A dé yàomìng</t>
  </si>
  <si>
    <t>V so much one could die, so A one could die</t>
  </si>
  <si>
    <t>五个小时没碰手机，我空虚得要命。</t>
  </si>
  <si>
    <t>I didn't touch my cell phone for five hours, and I feel so empty [from not having anythnig to do] I could die.</t>
  </si>
  <si>
    <t>https://chinesezerotohero.teachable.com/courses/302494/lectures/6282882</t>
  </si>
  <si>
    <t>6.10.1</t>
  </si>
  <si>
    <t>以至 (于)</t>
  </si>
  <si>
    <t>yǐzhì ( yú)</t>
  </si>
  <si>
    <t>as a result</t>
  </si>
  <si>
    <t>中国的饮食文化汲收不同国家的优异之处，以至于辉煌至今。</t>
  </si>
  <si>
    <t>China's food culture has absorbed the excellence of different countries, [and] as a result its brilliance [has shone] to this day.</t>
  </si>
  <si>
    <t>https://chinesezerotohero.teachable.com/courses/302494/lectures/6282883</t>
  </si>
  <si>
    <t>6.10.2</t>
  </si>
  <si>
    <t>即便</t>
  </si>
  <si>
    <t>jíbiàn</t>
  </si>
  <si>
    <t>even if</t>
  </si>
  <si>
    <t>她最近心情不好，即便有些不讲理，你也要原谅她。</t>
  </si>
  <si>
    <t>She has a bad mood recently. Even if she is a little unreasonable, you still have to forgive her.</t>
  </si>
  <si>
    <t>https://chinesezerotohero.teachable.com/courses/302494/lectures/6282884</t>
  </si>
  <si>
    <t>6.10.3</t>
  </si>
  <si>
    <t>所在</t>
  </si>
  <si>
    <t>suǒzài</t>
  </si>
  <si>
    <t>where … lies</t>
  </si>
  <si>
    <t>培养人是教育的立足点，是教育价值的根本所在，是教育的本体功能。</t>
  </si>
  <si>
    <t>Cultivating people is the foothold of education, is where the foundation of education’s value lies, and the ontological function of education.</t>
  </si>
  <si>
    <t>https://chinesezerotohero.teachable.com/courses/302494/lectures/6282885</t>
  </si>
  <si>
    <t>place</t>
  </si>
  <si>
    <t>他选择了风景秀美、气候宜人的所在。</t>
  </si>
  <si>
    <t>He chose a place with beautiful scenery and a pleasant climate.</t>
  </si>
  <si>
    <t>6.11.1</t>
  </si>
  <si>
    <t>统统</t>
  </si>
  <si>
    <t>tǒngtǒng</t>
  </si>
  <si>
    <t>all</t>
  </si>
  <si>
    <t>影院、酒吧，统统与他无缘。</t>
  </si>
  <si>
    <t>Theaters and bars (all) have nothing to do with him.</t>
  </si>
  <si>
    <t>https://chinesezerotohero.teachable.com/courses/302498/lectures/6429518</t>
  </si>
  <si>
    <t>6.11.2</t>
  </si>
  <si>
    <t>以 A 为 B</t>
  </si>
  <si>
    <t>yǐ A wéi B</t>
  </si>
  <si>
    <t>regard A as B</t>
  </si>
  <si>
    <t>高级阶段的汉语学习应以阅读吸收为主，语法学习为辅。</t>
  </si>
  <si>
    <t>At the advanced stage of Chinese learning, [we] should consider reading and input should as the primary, [and] consider grammar learning as secondary.</t>
  </si>
  <si>
    <t>https://chinesezerotohero.teachable.com/courses/302498/lectures/6429516</t>
  </si>
  <si>
    <t>6.11.3</t>
  </si>
  <si>
    <t>该 V (就)(得) V</t>
  </si>
  <si>
    <t>gāi V ( jiù)( dé) V</t>
  </si>
  <si>
    <t>if one should V then one must V</t>
  </si>
  <si>
    <t>中国过年过节的时候商店最忙了，根本不放假，该开门就得开门。</t>
  </si>
  <si>
    <t>When the Chinese New Year is over, the store is the busiest, and there is no holiday at all. We have no choice but to stay open. (Lit. If we should open the door [for business] then we must open the door [for business].)</t>
  </si>
  <si>
    <t>https://chinesezerotohero.teachable.com/courses/302498/lectures/6429519</t>
  </si>
  <si>
    <t>6.12.1</t>
  </si>
  <si>
    <t>不妨 V</t>
  </si>
  <si>
    <t>bùfáng V</t>
  </si>
  <si>
    <t>it won’t hurt to V</t>
  </si>
  <si>
    <t>有什么意见，你不妨直说。</t>
  </si>
  <si>
    <t>If you have any comments, it won’t hurt for you to say it frankly. (You’re welcome to say it frankly. There’s nothing preventing you to say it frankly.)</t>
  </si>
  <si>
    <t>https://chinesezerotohero.teachable.com/courses/302498/lectures/6429517</t>
  </si>
  <si>
    <t>6.12.2</t>
  </si>
  <si>
    <t>务必</t>
  </si>
  <si>
    <t>wùbì</t>
  </si>
  <si>
    <t>must</t>
  </si>
  <si>
    <t>飞机起飞前务必系好安全带。</t>
  </si>
  <si>
    <t>you must fasten your seatbelt before the plane takes off.</t>
  </si>
  <si>
    <t>https://chinesezerotohero.teachable.com/courses/302498/lectures/6429515</t>
  </si>
  <si>
    <t>6.12.3</t>
  </si>
  <si>
    <t>鉴于</t>
  </si>
  <si>
    <t>jiànyú</t>
  </si>
  <si>
    <t>in view of</t>
  </si>
  <si>
    <t>鉴于农村教师严重缺乏，他决定大学毕业以后，到农村去当老师。</t>
  </si>
  <si>
    <t>In view of the serious shortage of rural teachers, he decided to go to the countryside to become a teacher after graduating from college.</t>
  </si>
  <si>
    <t>https://chinesezerotohero.teachable.com/courses/302498/lectures/6429520</t>
  </si>
  <si>
    <t>6.13.1</t>
  </si>
  <si>
    <t>便于</t>
  </si>
  <si>
    <t>biànyú</t>
  </si>
  <si>
    <t>easy to</t>
  </si>
  <si>
    <t>科普文章应该写得简明易懂、便于理解。</t>
  </si>
  <si>
    <t>Popular science articles should be written in a concise way, [so it’s] easy to understand.</t>
  </si>
  <si>
    <t>https://chinesezerotohero.teachable.com/courses/302498/lectures/6429522</t>
  </si>
  <si>
    <t>6.13.2</t>
  </si>
  <si>
    <t>犹如 N (一般/般) A</t>
  </si>
  <si>
    <t>yóurú N ( yībān/ bān) A</t>
  </si>
  <si>
    <t>as A as N (metaphorically)</t>
  </si>
  <si>
    <t>公司的劣质产品气坏了消费者，顾客的愤怒情绪犹如火山爆发(一般/般)难以控制。</t>
  </si>
  <si>
    <t>The company's inferior products have angered consumers, and their anger is as difficult to control as a volcanic eruption.</t>
  </si>
  <si>
    <t>https://chinesezerotohero.teachable.com/courses/302498/lectures/6429523</t>
  </si>
  <si>
    <t>6.13.3</t>
  </si>
  <si>
    <t>和……相比</t>
  </si>
  <si>
    <t>hé…… xiāngbǐ</t>
  </si>
  <si>
    <t>compared to…</t>
  </si>
  <si>
    <t>和10年前相比，人们要经历更多次的职业选择。</t>
  </si>
  <si>
    <t>People have to go through more career choices compared to 10 years ago.</t>
  </si>
  <si>
    <t>https://chinesezerotohero.teachable.com/courses/302498/lectures/6429521</t>
  </si>
  <si>
    <t>6.14.1</t>
  </si>
  <si>
    <t>一 + M + M</t>
  </si>
  <si>
    <t>yī + M + M</t>
  </si>
  <si>
    <t>one batch after another</t>
  </si>
  <si>
    <t>每天都会有一拨拨同行前来考察访问。</t>
  </si>
  <si>
    <t>Every day, there are group after group of people from the same profession coming to tour [the facilities] and visit.</t>
  </si>
  <si>
    <t>https://chinesezerotohero.teachable.com/courses/302498/lectures/6429525</t>
  </si>
  <si>
    <t>6.14.2</t>
  </si>
  <si>
    <t>难以 V</t>
  </si>
  <si>
    <t>nányǐ V</t>
  </si>
  <si>
    <t>hard to</t>
  </si>
  <si>
    <t>他能否成功尚难以预料。</t>
  </si>
  <si>
    <t>It’s still hard to predict whether he will be successful.</t>
  </si>
  <si>
    <t>https://chinesezerotohero.teachable.com/courses/302498/lectures/6429528</t>
  </si>
  <si>
    <t>6.14.3</t>
  </si>
  <si>
    <t>免得</t>
  </si>
  <si>
    <t>miǎnde</t>
  </si>
  <si>
    <t>lest</t>
  </si>
  <si>
    <t>今天大家晚点儿走，把活儿都干完，免得明天再来。</t>
  </si>
  <si>
    <t>Everyone [please] leave a little later today and finish all the work, lest you [have to] come again tomorrow.</t>
  </si>
  <si>
    <t>https://chinesezerotohero.teachable.com/courses/302498/lectures/6429526</t>
  </si>
  <si>
    <t>6.15.1</t>
  </si>
  <si>
    <t>时而……时而……</t>
  </si>
  <si>
    <t>shí'ér…… shí'ér……</t>
  </si>
  <si>
    <t>sometimes… sometimes…</t>
  </si>
  <si>
    <t>阳光下，蝴蝶的颜色鲜艳极了，时而金黄，时而翠绿，时而由紫变蓝。</t>
  </si>
  <si>
    <t>In the sun, the color of the butterfly is very bright, sometimes golden, sometimes green, sometimes from purple to blue.</t>
  </si>
  <si>
    <t>https://chinesezerotohero.teachable.com/courses/302498/lectures/6429527</t>
  </si>
  <si>
    <t>时而</t>
  </si>
  <si>
    <t>shí'ér</t>
  </si>
  <si>
    <t>from time to time</t>
  </si>
  <si>
    <t>主人去世以后，那狗没有了往日的精神，时而发出令人伤心的叫声。</t>
  </si>
  <si>
    <t>After the death of the owner, the dog did not have the spirit like it did in the past, and it sometimes makes a sad call.</t>
  </si>
  <si>
    <t>6.15.2</t>
  </si>
  <si>
    <t>不禁 V</t>
  </si>
  <si>
    <t>bùjīn V</t>
  </si>
  <si>
    <t>can’t help but to V</t>
  </si>
  <si>
    <t>听到这个消息，大家不禁兴奋起来。</t>
  </si>
  <si>
    <t>When you heard the news, everyone couldn't help but get excited.</t>
  </si>
  <si>
    <t>https://chinesezerotohero.teachable.com/courses/302498/lectures/6429529</t>
  </si>
  <si>
    <t>6.15.3</t>
  </si>
  <si>
    <t>无不 V</t>
  </si>
  <si>
    <t>wúbù V</t>
  </si>
  <si>
    <t>there is nothing that doesn’t V</t>
  </si>
  <si>
    <t>你的一言一行，一举一动，无不影响着你周围的人们。</t>
  </si>
  <si>
    <t>Your words and deeds, every move, they all (lit. there is nothing that doesn’t) affect the people around you.</t>
  </si>
  <si>
    <t>https://chinesezerotohero.teachable.com/courses/302498/lectures/6429524</t>
  </si>
  <si>
    <t>6.16.1</t>
  </si>
  <si>
    <t>换句话说/(也)就是说</t>
  </si>
  <si>
    <t>huànjùhuàshuō/( yě) jiùshìshuō</t>
  </si>
  <si>
    <t>in other words</t>
  </si>
  <si>
    <t>每个国家都应与他国和睦相处。换句话说/(也)就是说，国家不能为所欲为。</t>
  </si>
  <si>
    <t>Every country should live in harmony with other countries. In other words, a country can't do whatever it wants.</t>
  </si>
  <si>
    <t>https://chinesezerotohero.teachable.com/courses/302498/lectures/6429535</t>
  </si>
  <si>
    <t>6.16.2</t>
  </si>
  <si>
    <t>没有一个人不为这部电影中的人物所感动。</t>
  </si>
  <si>
    <t>No one is [left] untouched by the characters in this movie.</t>
  </si>
  <si>
    <t>https://chinesezerotohero.teachable.com/courses/302498/lectures/6429531</t>
  </si>
  <si>
    <t>6.16.3</t>
  </si>
  <si>
    <t>足以</t>
  </si>
  <si>
    <t>zúyǐ</t>
  </si>
  <si>
    <t>is enough to</t>
  </si>
  <si>
    <t>对这样的坏人不严惩就不足以平民愤。</t>
  </si>
  <si>
    <t>If they do not severely punish such bad people, it won’t be enough to calm the anger civilians.</t>
  </si>
  <si>
    <t>https://chinesezerotohero.teachable.com/courses/302498/lectures/6429530</t>
  </si>
  <si>
    <t>6.17.1</t>
  </si>
  <si>
    <t>东 # M 西 # M</t>
  </si>
  <si>
    <t>dōng # M xī # M</t>
  </si>
  <si>
    <t>one here and one there, willy nilly</t>
  </si>
  <si>
    <t>客人还不走，我只好跟他东一句西一句地没话找话说。</t>
  </si>
  <si>
    <t>The guest is not leaving yet, so I have to talk aimlessly to him.</t>
  </si>
  <si>
    <t>https://chinesezerotohero.teachable.com/courses/302498/lectures/6429532</t>
  </si>
  <si>
    <t>6.17.2</t>
  </si>
  <si>
    <t>V 中 (zhòng)</t>
  </si>
  <si>
    <t>V zhōng (zhòng)</t>
  </si>
  <si>
    <t>V on the mark</t>
  </si>
  <si>
    <t>飞来一只苍蝇，人动手去打，却总是打不中。</t>
  </si>
  <si>
    <t>A fly flew in. People tried to hit it with their hands but always missed it.</t>
  </si>
  <si>
    <t>https://chinesezerotohero.teachable.com/courses/302498/lectures/6429533</t>
  </si>
  <si>
    <t>中 (zhòng) N</t>
  </si>
  <si>
    <t>zhōng (zhòng) N</t>
  </si>
  <si>
    <t>hit by N</t>
  </si>
  <si>
    <t>这种蘑菇不能吃，吃了会中毒的。</t>
  </si>
  <si>
    <t>This kind of mushroom can't be eaten. You will be poisoned if you eat it.</t>
  </si>
  <si>
    <t>6.17.3</t>
  </si>
  <si>
    <t>姑且</t>
  </si>
  <si>
    <t>gūqiě</t>
  </si>
  <si>
    <t>for now</t>
  </si>
  <si>
    <t>这件事，你姑且先答应下来，然后再慢慢想办法。</t>
  </si>
  <si>
    <t>As for this matter, you can agree to it for now, and then take your time and think about how to deal with it.</t>
  </si>
  <si>
    <t>https://chinesezerotohero.teachable.com/courses/302498/lectures/6429534</t>
  </si>
  <si>
    <t>6.18.1</t>
  </si>
  <si>
    <t>随即</t>
  </si>
  <si>
    <t>suíjí</t>
  </si>
  <si>
    <t>as soon as</t>
  </si>
  <si>
    <t>耶稣受了洗，随即从水里上来。</t>
  </si>
  <si>
    <t>As soon as Jesus was baptized, he went up out of the water.</t>
  </si>
  <si>
    <t>https://chinesezerotohero.teachable.com/courses/302498/lectures/6429536</t>
  </si>
  <si>
    <t>6.18.2</t>
  </si>
  <si>
    <t>宁愿</t>
  </si>
  <si>
    <t>nìngyuàn</t>
  </si>
  <si>
    <t>咱们宁愿多花点儿钱，也要买个质量好的。</t>
  </si>
  <si>
    <t>We'd rather spend more money than buy a good one.</t>
  </si>
  <si>
    <t>https://chinesezerotohero.teachable.com/courses/302498/lectures/6429538</t>
  </si>
  <si>
    <t>6.18.3</t>
  </si>
  <si>
    <t>N 归 N</t>
  </si>
  <si>
    <t>N guī N</t>
  </si>
  <si>
    <t>although N is N</t>
  </si>
  <si>
    <t>朋友之间，开玩笑归开玩笑，但千万别过了头。</t>
  </si>
  <si>
    <t>Between friends, [although] jokes are jokes, but don't go too far.</t>
  </si>
  <si>
    <t>https://chinesezerotohero.teachable.com/courses/302498/lectures/6429544</t>
  </si>
  <si>
    <t>6.19.1</t>
  </si>
  <si>
    <t>进而</t>
  </si>
  <si>
    <t>jìn'ér</t>
  </si>
  <si>
    <t>and then</t>
  </si>
  <si>
    <t>人是在实践中接受环境的影响，进而改造自己的。</t>
  </si>
  <si>
    <t>It is through trial and error, mankind is influenced by their environment, and then transform themselves.</t>
  </si>
  <si>
    <t>https://chinesezerotohero.teachable.com/courses/302498/lectures/6429537</t>
  </si>
  <si>
    <t>6.19.2</t>
  </si>
  <si>
    <t>得以 V</t>
  </si>
  <si>
    <t>déyǐ V</t>
  </si>
  <si>
    <t>be enabled to V</t>
  </si>
  <si>
    <t>他因为年轻，得以免除惩罚。</t>
  </si>
  <si>
    <t xml:space="preserve">He is young, [which] enabled [him] to be exempt from punishment.
</t>
  </si>
  <si>
    <t>https://chinesezerotohero.teachable.com/courses/302498/lectures/6429543</t>
  </si>
  <si>
    <t>6.19.3</t>
  </si>
  <si>
    <t>偏偏 V</t>
  </si>
  <si>
    <t>piānpiān V</t>
  </si>
  <si>
    <t>just V, to insist on V</t>
  </si>
  <si>
    <t>那里太危险了，大家都劝他不要去，他偏偏要去。</t>
  </si>
  <si>
    <t>It's too dangerous there. Everyone advised him not to go. He just wanted to go. (He insisted on going.)</t>
  </si>
  <si>
    <t>https://chinesezerotohero.teachable.com/courses/302498/lectures/6429542</t>
  </si>
  <si>
    <t>偏偏 CLAUSE</t>
  </si>
  <si>
    <t>piānpiān CLAUSE</t>
  </si>
  <si>
    <t>(CLAUSE is an undesirable occurence by chance)</t>
  </si>
  <si>
    <t>正当我坐下来吃晚饭时, 偏偏电话来了。</t>
  </si>
  <si>
    <t>It just have to [be] when I sit down and eat supper that a call came.</t>
  </si>
  <si>
    <t>6.20.1</t>
  </si>
  <si>
    <t>况且</t>
  </si>
  <si>
    <t>kuàngqiě</t>
  </si>
  <si>
    <t>这套房子交通方便，附近有书店，况且房租又不贵，真是再合适不过了。</t>
  </si>
  <si>
    <t>This apartment has convenient transportation, a bookstore nearby. And besides, the rent is not expensive. It's perfect.</t>
  </si>
  <si>
    <t>https://chinesezerotohero.teachable.com/courses/302498/lectures/6429539</t>
  </si>
  <si>
    <t>6.20.2</t>
  </si>
  <si>
    <t>大 TIME</t>
  </si>
  <si>
    <t>dà TIME</t>
  </si>
  <si>
    <t>(emphasize on TIME)</t>
  </si>
  <si>
    <t>那辆汽车大白天被人偷走了。</t>
  </si>
  <si>
    <t>The car was stolen in broad daylight.</t>
  </si>
  <si>
    <t>https://chinesezerotohero.teachable.com/courses/302498/lectures/6429540</t>
  </si>
  <si>
    <t>6.20.3</t>
  </si>
  <si>
    <t>(与其) V 倒不如 V</t>
  </si>
  <si>
    <t>( yǔqí) V dǎo bùrú V</t>
  </si>
  <si>
    <t>rather than V, it’s better to V</t>
  </si>
  <si>
    <t>(与其)说这是一本像册，倒不如说这是他大半生的历史。</t>
  </si>
  <si>
    <t>This is not so much a photo album as the history of most of his life. (Lit. Rather than saying it’s a photo album, it’s better to say it’s the history of most of his life.)</t>
  </si>
  <si>
    <t>6.21.1</t>
  </si>
  <si>
    <t>以免</t>
  </si>
  <si>
    <t>yǐmiǎn</t>
  </si>
  <si>
    <t>为了避免</t>
  </si>
  <si>
    <t>感冒时应尽量少去公共场所，以免传染别人。</t>
  </si>
  <si>
    <t>When you have a cold, you should go to public places as little as possible so as not to infect others.</t>
  </si>
  <si>
    <t>https://chinesezerotohero.teachable.com/courses/302505/lectures/6993032</t>
  </si>
  <si>
    <t>6.21.2</t>
  </si>
  <si>
    <t>嫌</t>
  </si>
  <si>
    <t>xián</t>
  </si>
  <si>
    <t>dislike, have a strong negative opinion about</t>
  </si>
  <si>
    <t>大家都嫌这个旅行计划不够合理。</t>
  </si>
  <si>
    <t>Everyone feels (badly) that travel plan is unreasonable.</t>
  </si>
  <si>
    <t>https://chinesezerotohero.teachable.com/courses/302505/lectures/6993035</t>
  </si>
  <si>
    <t>6.22.1</t>
  </si>
  <si>
    <t>动不动就 V</t>
  </si>
  <si>
    <t>dòngbudòng jiù V</t>
  </si>
  <si>
    <t>on a whim</t>
  </si>
  <si>
    <t>他最近工作忙、压力大，动不动就着急、发脾气。</t>
  </si>
  <si>
    <t>He's been busy and stressed recently. He gets angry on a whim.</t>
  </si>
  <si>
    <t>https://chinesezerotohero.teachable.com/courses/302505/lectures/6993037</t>
  </si>
  <si>
    <t>6.22.2</t>
  </si>
  <si>
    <t>甲、乙、丙、丁是一个序列，相当于英文的A、B、C、D。</t>
  </si>
  <si>
    <t>A, B, C and D are sequences equivalent to A, B, C and D in English.</t>
  </si>
  <si>
    <t>https://chinesezerotohero.teachable.com/courses/302505/lectures/6993039</t>
  </si>
  <si>
    <t>6.23.1</t>
  </si>
  <si>
    <t>加以 V</t>
  </si>
  <si>
    <t>jiāyǐ V</t>
  </si>
  <si>
    <t>proceed with V</t>
  </si>
  <si>
    <t>对于你的意见和建议，我们会认真加以研究。</t>
  </si>
  <si>
    <t>As for your opinions and suggestions, we will carefully (conduct a) study.</t>
  </si>
  <si>
    <t>https://chinesezerotohero.teachable.com/courses/302505/lectures/6993041</t>
  </si>
  <si>
    <t>6.23.2</t>
  </si>
  <si>
    <t>大大/远远 V</t>
  </si>
  <si>
    <t>dàdà/ yuǎnyuǎn V</t>
  </si>
  <si>
    <t>V by far</t>
  </si>
  <si>
    <t>你的能力大大/远远超出了我们的想象。</t>
  </si>
  <si>
    <t>Your abilities exceeded our imagination by far.</t>
  </si>
  <si>
    <t>https://chinesezerotohero.teachable.com/courses/302505/lectures/6993128</t>
  </si>
  <si>
    <t>远远 + 不/没 + V/A</t>
  </si>
  <si>
    <t>yuǎnyuǎn + bù/ méi + V/A</t>
  </si>
  <si>
    <t>far from V-ing, far from A</t>
  </si>
  <si>
    <t>你现在的知识、能力都远远不能胜任你理想中的工作。</t>
  </si>
  <si>
    <t>Your current knowledge and abilities are far from [sufficient for you to be] competent for your ideal job.</t>
  </si>
  <si>
    <t>6.24.1</t>
  </si>
  <si>
    <t>紧缩句</t>
  </si>
  <si>
    <t>jǐnsuō jù</t>
  </si>
  <si>
    <t>(omitting “if” words)</t>
  </si>
  <si>
    <t>站住！(要是) 不站住，我就开枪了。</t>
  </si>
  <si>
    <t>Stop! If you don't stop, I'll shoot.</t>
  </si>
  <si>
    <t>https://chinesezerotohero.teachable.com/courses/302505/lectures/6993315</t>
  </si>
  <si>
    <t>6.24.2</t>
  </si>
  <si>
    <t>特意</t>
  </si>
  <si>
    <t>tèyì</t>
  </si>
  <si>
    <t>on purpose</t>
  </si>
  <si>
    <t>那一年我出差去天津，特意绕道北京，去了趟圆明园。</t>
  </si>
  <si>
    <t>That year, I went to Tianjin on business. On purpose, I made a detour to Beijing and went to Yuanmingyuan.</t>
  </si>
  <si>
    <t>https://chinesezerotohero.teachable.com/courses/302505/lectures/7007909</t>
  </si>
  <si>
    <t>6.25.1</t>
  </si>
  <si>
    <t>即将</t>
  </si>
  <si>
    <t>jíjiāng</t>
  </si>
  <si>
    <t>我们已经完成了学业，即将走上工作岗位，开始人生新的一页。</t>
  </si>
  <si>
    <t>We have finished our studies and about to go to work and start a new page in our lives.</t>
  </si>
  <si>
    <t>https://chinesezerotohero.teachable.com/courses/302505/lectures/7008583</t>
  </si>
  <si>
    <t>6.25.2</t>
  </si>
  <si>
    <t>能 + V + 就 + V</t>
  </si>
  <si>
    <t>néng + V + jiù + V</t>
  </si>
  <si>
    <t>V if possible</t>
  </si>
  <si>
    <t>这个手机没用多久，能修就修，尽量别换新的。</t>
  </si>
  <si>
    <t>This mobile phone hasn’t been used for long. If it can be repaired, (then) repair it. Try not to replace it.</t>
  </si>
  <si>
    <t>https://chinesezerotohero.teachable.com/courses/302505/lectures/7009070</t>
  </si>
  <si>
    <t>6.26.1</t>
  </si>
  <si>
    <t>别说</t>
  </si>
  <si>
    <t>bié shuō</t>
  </si>
  <si>
    <t>晚上看书别说蜡烛了，就是灯油也要节省着用。</t>
  </si>
  <si>
    <t>When [I] read at night, let alone candles, I had to scrooge even on the lamp oil.</t>
  </si>
  <si>
    <t>https://chinesezerotohero.teachable.com/courses/302505/lectures/7010390</t>
  </si>
  <si>
    <t>6.26.2</t>
  </si>
  <si>
    <t>V1V1V2V2</t>
  </si>
  <si>
    <t>(repeated action)</t>
  </si>
  <si>
    <t>小孩子就喜欢打打闹闹，磕磕碰碰是难免的，过几天就好了， 别担心。</t>
  </si>
  <si>
    <t>Children like to make a lot of noise. It's inevitable to bump into each other. It'll be all right in a few days. Don't worry.</t>
  </si>
  <si>
    <t>https://chinesezerotohero.teachable.com/courses/302505/lectures/7010394</t>
  </si>
  <si>
    <t>6.27.1</t>
  </si>
  <si>
    <t>左 # M N 右 # M N</t>
  </si>
  <si>
    <t>zuǒ # M N yòu # M N</t>
  </si>
  <si>
    <t>one N after another</t>
  </si>
  <si>
    <t>妈妈左一个电话右一个电话地催他回家。</t>
  </si>
  <si>
    <t>Mother called him left and right (lit. with one call after another), trying to hurry him to come home.</t>
  </si>
  <si>
    <t>https://chinesezerotohero.teachable.com/courses/302505/lectures/7010602</t>
  </si>
  <si>
    <t>6.27.2</t>
  </si>
  <si>
    <t>莫非/难道 …… 不成</t>
  </si>
  <si>
    <t>mòfēi/ nándào …… bùchéng</t>
  </si>
  <si>
    <t>他大吃一惊，头脑中一片空白——莫非受了骗不成?</t>
  </si>
  <si>
    <t>He was shocked and his mind was blank - could he possibly be deceived?</t>
  </si>
  <si>
    <t>https://chinesezerotohero.teachable.com/courses/302505/lectures/8414339</t>
  </si>
  <si>
    <t>6.28.1</t>
  </si>
  <si>
    <t>一个 N</t>
  </si>
  <si>
    <t>yī gè N</t>
  </si>
  <si>
    <t>with a…</t>
  </si>
  <si>
    <t>他手没抓住栏杆，一个跟头栽了下来。</t>
  </si>
  <si>
    <t>He missed the railing and fell with a flip.</t>
  </si>
  <si>
    <t>https://chinesezerotohero.teachable.com/courses/302505/lectures/8421523</t>
  </si>
  <si>
    <t>(了) 个 A</t>
  </si>
  <si>
    <t>( le) gè A</t>
  </si>
  <si>
    <t>to the extent that it became A</t>
  </si>
  <si>
    <t>他把心爱的琴摔了个粉碎。</t>
  </si>
  <si>
    <t>He smashed his beloved violin to pieces (lit. to the extent that it became shattered).</t>
  </si>
  <si>
    <t>6.28.2</t>
  </si>
  <si>
    <t>向来 V/A</t>
  </si>
  <si>
    <t>xiànglái V/A</t>
  </si>
  <si>
    <t>always have (been) V/A</t>
  </si>
  <si>
    <t>他们向来忠厚、老实，为人诚恳。</t>
  </si>
  <si>
    <t>They have always been loyal, honest and sincere.</t>
  </si>
  <si>
    <t>https://chinesezerotohero.teachable.com/courses/302505/lectures/8421528</t>
  </si>
  <si>
    <t>6.29.1</t>
  </si>
  <si>
    <t>预先</t>
  </si>
  <si>
    <t>yùxiān</t>
  </si>
  <si>
    <t>ahead of time</t>
  </si>
  <si>
    <t>大家预先都没有想到，本届绘画展览竟然这么受欢迎。</t>
  </si>
  <si>
    <t>It was never expected (ahead of time) that this painting exhibition would be so popular.</t>
  </si>
  <si>
    <t>https://chinesezerotohero.teachable.com/courses/302505/lectures/8421662</t>
  </si>
  <si>
    <t>6.29.2</t>
  </si>
  <si>
    <t>CLAUSE1 也好 CLAUSE2 也罢</t>
  </si>
  <si>
    <t>CLAUSE1 yě hǎo CLAUSE2 yěbà</t>
  </si>
  <si>
    <t>it doesn’t matter whether CLAUSE1 or CLAUSE2</t>
  </si>
  <si>
    <t>开汽车也好，骑自行车也罢，行进中打电话都会影响注意力与反应能力。</t>
  </si>
  <si>
    <t>It doesn’t matter whether [you are] driving a car or riding a bicycle, making phone calls during the journey can affect attention and reaction ability.</t>
  </si>
  <si>
    <t>https://chinesezerotohero.teachable.com/courses/302505/lectures/8455699</t>
  </si>
  <si>
    <t>6.30.1</t>
  </si>
  <si>
    <t>不时</t>
  </si>
  <si>
    <t>bùshí</t>
  </si>
  <si>
    <t>不时传来的几声鸟叫提醒我们，新的一天又开始了。</t>
  </si>
  <si>
    <t>A few bird calls from time to time remind us that a new day has begun.</t>
  </si>
  <si>
    <t>https://chinesezerotohero.teachable.com/courses/302505/lectures/8455704</t>
  </si>
  <si>
    <t>6.30.2</t>
  </si>
  <si>
    <t>多多少少</t>
  </si>
  <si>
    <t>duōduōshǎoshǎo</t>
  </si>
  <si>
    <t>more or less</t>
  </si>
  <si>
    <t>他的话多多少少有些真实。</t>
  </si>
  <si>
    <t>What he said was more or less truthful.</t>
  </si>
  <si>
    <t>https://chinesezerotohero.teachable.com/courses/302505/lectures/8464345</t>
  </si>
  <si>
    <t>6.31.1</t>
  </si>
  <si>
    <t>逐 M</t>
  </si>
  <si>
    <t>zhú M</t>
  </si>
  <si>
    <t>one by one</t>
  </si>
  <si>
    <t>雨季快到了，水库要逐个检查，以排除安全隐患。</t>
  </si>
  <si>
    <t>As the rainy season is approaching, reservoirs should be inspected one by one to eliminate potential safety hazards.</t>
  </si>
  <si>
    <t>https://chinesezerotohero.teachable.com/courses/302506/lectures/8464396</t>
  </si>
  <si>
    <t>6.31.2</t>
  </si>
  <si>
    <t>归根到底</t>
  </si>
  <si>
    <t>guīgēndàodǐ</t>
  </si>
  <si>
    <t>运动健身归根到底是自己的事，胡乱对付其实是在骗自己。</t>
  </si>
  <si>
    <t>Exercise and fitness is after all [your] own business. If you just try to scrape through it, you are actually deceiving yourself.</t>
  </si>
  <si>
    <t>https://chinesezerotohero.teachable.com/courses/302506/lectures/8464400</t>
  </si>
  <si>
    <t>6.32.1</t>
  </si>
  <si>
    <t>哪怕</t>
  </si>
  <si>
    <t>nǎpà</t>
  </si>
  <si>
    <t>您放心，我们 一定会尽全力抢救病人，哪怕只有一线希望。</t>
  </si>
  <si>
    <t>You can rest assured that we will do our best to save the patients, even if there is only a glimmer of hope.</t>
  </si>
  <si>
    <t>https://chinesezerotohero.teachable.com/courses/302506/lectures/8464774</t>
  </si>
  <si>
    <t>6.32.2</t>
  </si>
  <si>
    <t>反之</t>
  </si>
  <si>
    <t>fǎnzhī</t>
  </si>
  <si>
    <t>on the contrary</t>
  </si>
  <si>
    <t>经济发展了，百姓的收入增加了，消费能力就强，反之，百姓的消费能力就差。</t>
  </si>
  <si>
    <t>If the economy develops, people's income increases, and their buying power increases. On the contrary [if the opposite is true], people's buying power will be less.</t>
  </si>
  <si>
    <t>https://chinesezerotohero.teachable.com/courses/302506/lectures/8466873</t>
  </si>
  <si>
    <t>6.33.1</t>
  </si>
  <si>
    <t>V/A1 的 V/A1，V/A2 的 V/A2</t>
  </si>
  <si>
    <t>V/A1 de V/A1，V/A2 de V/A2</t>
  </si>
  <si>
    <t>some V/A1, some V/A2</t>
  </si>
  <si>
    <t>进了果园，大家看到一树的桃 ，红的红，绿的绿，漂亮极了。</t>
  </si>
  <si>
    <t>Entering the orchard, you can see a tree of peaches, some red, some green, very beautiful.</t>
  </si>
  <si>
    <t>https://chinesezerotohero.teachable.com/courses/302506/lectures/8473267</t>
  </si>
  <si>
    <t>6.33.2</t>
  </si>
  <si>
    <t>一时</t>
  </si>
  <si>
    <t>yīshí</t>
  </si>
  <si>
    <t>momentarily</t>
  </si>
  <si>
    <t>她一时心急，连门都没有锁就冲出家门。</t>
  </si>
  <si>
    <t>She was anxious at the time and she rushed out without locking the door.</t>
  </si>
  <si>
    <t>https://chinesezerotohero.teachable.com/courses/302506/lectures/8474050</t>
  </si>
  <si>
    <t>6.34.1</t>
  </si>
  <si>
    <t>(CLAUSE) S 尚且 V</t>
  </si>
  <si>
    <t>(CLAUSE) S shàngqiě V</t>
  </si>
  <si>
    <t>even (CLAUSE) S V</t>
  </si>
  <si>
    <t>经济增长时，这个企业尚且如此，经济衰退时，企业肯定会出现生存问题。</t>
  </si>
  <si>
    <t>Even during economic growth, the company is (yet) like this. It will certainly face survival problems in economic recession.</t>
  </si>
  <si>
    <t>https://chinesezerotohero.teachable.com/courses/302506/lectures/8474239</t>
  </si>
  <si>
    <t>6.34.2</t>
  </si>
  <si>
    <t>当年、当时、当代</t>
  </si>
  <si>
    <t>dāngnián、 dāngshí、 dāngdài</t>
  </si>
  <si>
    <t>at that time</t>
  </si>
  <si>
    <t>他已不是当年的他了。</t>
  </si>
  <si>
    <t>He is not the same man as he used to be (back in those days).</t>
  </si>
  <si>
    <t>https://chinesezerotohero.teachable.com/courses/302506/lectures/8474340</t>
  </si>
  <si>
    <t>6.35.1</t>
  </si>
  <si>
    <t>终究</t>
  </si>
  <si>
    <t>zhōngjiū</t>
  </si>
  <si>
    <t>猫终究是动物，动物急了咬人也是常的。</t>
  </si>
  <si>
    <t>Cats are animals after all, and it is normal for animals to bite people when they get frantic.</t>
  </si>
  <si>
    <t>https://chinesezerotohero.teachable.com/courses/302506/lectures/8476018</t>
  </si>
  <si>
    <t>6.35.2</t>
  </si>
  <si>
    <t>愈……愈……</t>
  </si>
  <si>
    <t>yù…… yù……</t>
  </si>
  <si>
    <t>the more… the more…</t>
  </si>
  <si>
    <t>愈是经营年画久了，他对年画就愈是热爱。</t>
  </si>
  <si>
    <t>The longer he has been selling New Year's paintings, the more he loves them.</t>
  </si>
  <si>
    <t>https://chinesezerotohero.teachable.com/courses/302506/lectures/8512597</t>
  </si>
  <si>
    <t>6.36.1</t>
  </si>
  <si>
    <t>一经</t>
  </si>
  <si>
    <t>yī jīng</t>
  </si>
  <si>
    <t>领导集团会对重大问题做出决定。一经决定，集团成员必须共同遵守。</t>
  </si>
  <si>
    <t>Leading groups will make decisions on major issues. Once a decision has been made, the members of the group must abide by it together.</t>
  </si>
  <si>
    <t>https://chinesezerotohero.teachable.com/courses/302506/lectures/8512641</t>
  </si>
  <si>
    <t>6.36.2</t>
  </si>
  <si>
    <t>本着 N</t>
  </si>
  <si>
    <t>běnzhe N</t>
  </si>
  <si>
    <t>based on</t>
  </si>
  <si>
    <t>两国谈判代表本着互谅互让的精神，解决了拖延多年的问题。</t>
  </si>
  <si>
    <t>In the spirit of mutual understanding and compromise, the negotiators of the two countries solved the problem of many years’ delay.</t>
  </si>
  <si>
    <t>https://chinesezerotohero.teachable.com/courses/302506/lectures/8514276</t>
  </si>
  <si>
    <t>6.37.1</t>
  </si>
  <si>
    <t>为……起见</t>
  </si>
  <si>
    <t>wéi…… qǐjiàn</t>
  </si>
  <si>
    <t>for the sake of</t>
  </si>
  <si>
    <t>购买餐具后，为安全起见可先将餐具进行消毒处理。</t>
  </si>
  <si>
    <t>After you purchasing tableware, they can be disinfected in view of safety.</t>
  </si>
  <si>
    <t>https://chinesezerotohero.teachable.com/courses/302506/lectures/8514497</t>
  </si>
  <si>
    <t>6.37.2</t>
  </si>
  <si>
    <t>暂且</t>
  </si>
  <si>
    <t>zànqiě</t>
  </si>
  <si>
    <t>干了几天，小王就不想干了。大家没办法，只得暂且由他去。</t>
  </si>
  <si>
    <t>After a few days, Xiao Wang didn't want to work [that job] anymore. Everyone had no choice but to leave him for the time being.</t>
  </si>
  <si>
    <t>https://chinesezerotohero.teachable.com/courses/302506/lectures/8517078</t>
  </si>
  <si>
    <t>6.38.1</t>
  </si>
  <si>
    <t>屡次</t>
  </si>
  <si>
    <t>lǚcì</t>
  </si>
  <si>
    <t>屡次创业，却屡次惨遭失败的人总想知道，创业有窍门吗?</t>
  </si>
  <si>
    <t>People who repeatedly start businesses but repeatedly fail miserably often wonder, “Are there any secrets to starting a [successful] business?”</t>
  </si>
  <si>
    <t>https://chinesezerotohero.teachable.com/courses/302506/lectures/8524441</t>
  </si>
  <si>
    <t>6.38.2</t>
  </si>
  <si>
    <t>依据</t>
  </si>
  <si>
    <t>yījù</t>
  </si>
  <si>
    <t>basis</t>
  </si>
  <si>
    <t>你们这样做有法律依据吗?</t>
  </si>
  <si>
    <t>Do you have any legal basis for doing so?</t>
  </si>
  <si>
    <t>https://chinesezerotohero.teachable.com/courses/302506/lectures/8524255</t>
  </si>
  <si>
    <t>创业必须依据市场需求，这是一条永恒的真理。</t>
  </si>
  <si>
    <t>It is an eternal truth that entrepreneurship must be based on market demand.</t>
  </si>
  <si>
    <t>6.39.1</t>
  </si>
  <si>
    <t>任意</t>
  </si>
  <si>
    <t>rènyì</t>
  </si>
  <si>
    <t>arbitrary</t>
  </si>
  <si>
    <t>合同一旦生效，任何一方都不能任意反悔了。</t>
  </si>
  <si>
    <t>Once the contract comes into force, neither party can change their minds arbitrarily.</t>
  </si>
  <si>
    <t>https://chinesezerotohero.teachable.com/courses/302506/lectures/8533193</t>
  </si>
  <si>
    <t>6.39.2</t>
  </si>
  <si>
    <t>尚未</t>
  </si>
  <si>
    <t>shàngwèi</t>
  </si>
  <si>
    <t>not yet</t>
  </si>
  <si>
    <t>所谓潜在的市场，就是尚未被人们认识的市场。</t>
  </si>
  <si>
    <t>The so-called potential market is the market not yet recognized by people.</t>
  </si>
  <si>
    <t>https://chinesezerotohero.teachable.com/courses/302506/lectures/8591529</t>
  </si>
  <si>
    <t>6.40.1</t>
  </si>
  <si>
    <t>(把)……放在眼里</t>
  </si>
  <si>
    <t>( bǎ)…… fàngzàiyǎnlǐ</t>
  </si>
  <si>
    <t>take … seriously</t>
  </si>
  <si>
    <t>这点困难她根本不放在眼里。</t>
  </si>
  <si>
    <t>[As for] this (little bit of) difficulty, she didn't take it seriously  at all.</t>
  </si>
  <si>
    <t>https://chinesezerotohero.teachable.com/courses/302506/lectures/8591531</t>
  </si>
  <si>
    <t>6.40.2</t>
  </si>
  <si>
    <t>不无</t>
  </si>
  <si>
    <t>bùwú</t>
  </si>
  <si>
    <t>not without</t>
  </si>
  <si>
    <t>她说工资低，这也不无道理。</t>
  </si>
  <si>
    <t>She says that her salary is low. This is not without reason.</t>
  </si>
  <si>
    <t>https://chinesezerotohero.teachable.com/courses/302506/lectures/8591532</t>
  </si>
  <si>
    <t>7-9.001</t>
  </si>
  <si>
    <t>需</t>
  </si>
  <si>
    <t>父亲的身体需休养一段时间。</t>
  </si>
  <si>
    <t>Father's body needs a period of rest.</t>
  </si>
  <si>
    <t>我们仍需耐心等待。</t>
  </si>
  <si>
    <t>We still have to be patient.</t>
  </si>
  <si>
    <t>7-9.002</t>
  </si>
  <si>
    <t>何</t>
  </si>
  <si>
    <t>何时</t>
  </si>
  <si>
    <t>我们何时出发？</t>
  </si>
  <si>
    <t>When shall we start?</t>
  </si>
  <si>
    <t>有何</t>
  </si>
  <si>
    <t>不管你有何疑问，都可以到办公室找我。</t>
  </si>
  <si>
    <t>No matter what questions you have, you can come to my office.</t>
  </si>
  <si>
    <t>7-9.003</t>
  </si>
  <si>
    <t>该、另、兹</t>
  </si>
  <si>
    <t>该项目</t>
  </si>
  <si>
    <t>该企业</t>
  </si>
  <si>
    <t>The enterprise</t>
  </si>
  <si>
    <t>另一</t>
  </si>
  <si>
    <t>另一回事</t>
  </si>
  <si>
    <t>something else</t>
  </si>
  <si>
    <t>兹</t>
  </si>
  <si>
    <t>兹日</t>
  </si>
  <si>
    <t>This day</t>
  </si>
  <si>
    <t>7-9.004 (1)</t>
  </si>
  <si>
    <t>栋、粒、枚、则、盏</t>
  </si>
  <si>
    <t>栋</t>
  </si>
  <si>
    <t>四栋楼</t>
  </si>
  <si>
    <t>Four buildings</t>
  </si>
  <si>
    <t>粒</t>
  </si>
  <si>
    <t>三粒药</t>
  </si>
  <si>
    <t>Three pills</t>
  </si>
  <si>
    <t>枚</t>
  </si>
  <si>
    <t>五枚硬币</t>
  </si>
  <si>
    <t>Five coins</t>
  </si>
  <si>
    <t>一则</t>
  </si>
  <si>
    <t>一则新闻</t>
  </si>
  <si>
    <t>A piece of news</t>
  </si>
  <si>
    <t>盏</t>
  </si>
  <si>
    <t>一盏灯</t>
  </si>
  <si>
    <t>A lamp</t>
  </si>
  <si>
    <t>7-9.004 (2)</t>
  </si>
  <si>
    <t>人次</t>
  </si>
  <si>
    <t>接待三千人次</t>
  </si>
  <si>
    <t>We received 3000 people</t>
  </si>
  <si>
    <t>7-9.005</t>
  </si>
  <si>
    <t>极为</t>
  </si>
  <si>
    <t>齐白石是极为杰出的画家。</t>
  </si>
  <si>
    <t>Qi Baishi is an outstanding painter.</t>
  </si>
  <si>
    <t>新能源汽车的发展前景极为广阔。</t>
  </si>
  <si>
    <t>The development prospect of new energy vehicles is very broad.</t>
  </si>
  <si>
    <t>7-9.006</t>
  </si>
  <si>
    <t>尽</t>
  </si>
  <si>
    <t>坐在尽前头的是我女朋友。</t>
  </si>
  <si>
    <t>At the top of the table is my girlfriend.</t>
  </si>
  <si>
    <t>尽北边有一个空位，您可以考虑这个位置。</t>
  </si>
  <si>
    <t>There is a vacancy as far north as possible. You can consider this position.</t>
  </si>
  <si>
    <t>7-9.007</t>
  </si>
  <si>
    <t>蛮</t>
  </si>
  <si>
    <t>她的分数蛮高的，大学肯定能考上。</t>
  </si>
  <si>
    <t>Her score is quite high. She is sure to be admitted to the University.</t>
  </si>
  <si>
    <t>昨天刚下完雪，今天蛮冷的。</t>
  </si>
  <si>
    <t>It just snowed yesterday. It's cold today.</t>
  </si>
  <si>
    <t>7-9.008</t>
  </si>
  <si>
    <t>颇</t>
  </si>
  <si>
    <t>我对这部电影的印象颇深。</t>
  </si>
  <si>
    <t>I'm quite impressed with the film.</t>
  </si>
  <si>
    <t>他对导游这份工作颇有兴趣。</t>
  </si>
  <si>
    <t>He is interested in the job of tour guide.</t>
  </si>
  <si>
    <t>7-9.009</t>
  </si>
  <si>
    <t>稍稍</t>
  </si>
  <si>
    <t>听了他的话，我稍稍松了一口气。</t>
  </si>
  <si>
    <t>I was a little relieved at his words.</t>
  </si>
  <si>
    <t>上海的夏天又闷又热，稍稍一动就会出汗。</t>
  </si>
  <si>
    <t>The summer in Shanghai is stuffy and hot. If you move a little, you will sweat.</t>
  </si>
  <si>
    <t>7-9.010</t>
  </si>
  <si>
    <t>尤为</t>
  </si>
  <si>
    <t>葡萄中的维生素含量尤为丰厚。</t>
  </si>
  <si>
    <t>Grapes are especially rich in vitamins.</t>
  </si>
  <si>
    <t>他对自己的要求尤为严格。</t>
  </si>
  <si>
    <t>He is especially strict with himself.</t>
  </si>
  <si>
    <t>7-9.011</t>
  </si>
  <si>
    <t>越发</t>
  </si>
  <si>
    <t>听到这个消息，同学们越发有热情了。</t>
  </si>
  <si>
    <t>Hearing the news, the students became more and more enthusiastic.</t>
  </si>
  <si>
    <t>随着年龄的增长，他越发不喜欢出去旅行了。</t>
  </si>
  <si>
    <t>As he gets older, he doesn't like to travel any more.</t>
  </si>
  <si>
    <t>7-9.012</t>
  </si>
  <si>
    <t>凡</t>
  </si>
  <si>
    <t>凡事</t>
  </si>
  <si>
    <t>凡事自己努力去做就好。</t>
  </si>
  <si>
    <t>Try to do everything yourself.</t>
  </si>
  <si>
    <t>但凡</t>
  </si>
  <si>
    <t>凡年龄满十八岁的公民都有选举与被选举的权利。</t>
  </si>
  <si>
    <t>All citizens over the age of 18 have the right to vote and be elected.</t>
  </si>
  <si>
    <t>7-9.013</t>
  </si>
  <si>
    <t>皆</t>
  </si>
  <si>
    <t>人人皆知</t>
  </si>
  <si>
    <t>这已是人人皆知的事实。</t>
  </si>
  <si>
    <t>This is a well-known fact.</t>
  </si>
  <si>
    <t>皆可</t>
  </si>
  <si>
    <t>这个比赛十六到十九岁的男性青少年皆可报名参加。</t>
  </si>
  <si>
    <t>This competition is open to young men aged 16 to 19.</t>
  </si>
  <si>
    <t>7-9.014</t>
  </si>
  <si>
    <t>我们不得不承认这些材料统统没有价值。</t>
  </si>
  <si>
    <t>We have to admit that all these materials have no value.</t>
  </si>
  <si>
    <t>时间、地点、人物、事件，她统统不记得。</t>
  </si>
  <si>
    <t>She didn't remember the time, place, people or events.</t>
  </si>
  <si>
    <t>7-9.015</t>
  </si>
  <si>
    <t>全班同学都在认真听讲，唯独他在睡觉。</t>
  </si>
  <si>
    <t>The whole class is listening carefully, but he is sleeping.</t>
  </si>
  <si>
    <t>他什么都不在乎，唯独受不了家人的不理解。</t>
  </si>
  <si>
    <t>He doesn't care about anything, but he can't stand the incomprehension of his family.</t>
  </si>
  <si>
    <t>7-9.016</t>
  </si>
  <si>
    <t>对待教育问题，不宜忽视，要严肃对待，有错即改。</t>
  </si>
  <si>
    <t>When dealing with education, we should not ignore it. We should take it seriously and correct it when there are mistakes.</t>
  </si>
  <si>
    <t>西北人张口即来的这种民歌，是高原上一道美丽的风景。</t>
  </si>
  <si>
    <t>This kind of folk song from the northwest is a beautiful scenery on the plateau.</t>
  </si>
  <si>
    <t>7-9.017</t>
  </si>
  <si>
    <t>历来</t>
  </si>
  <si>
    <t>王老师历来重视培养学生的动手能力。</t>
  </si>
  <si>
    <t>Mr. Wang has always attached great importance to the cultivation of students' practical ability.</t>
  </si>
  <si>
    <t>流行歌曲历来是社会文化不可以缺少的一部分。</t>
  </si>
  <si>
    <t>Pop songs have always been an indispensable part of social culture.</t>
  </si>
  <si>
    <t>7-9.018</t>
  </si>
  <si>
    <t>尚</t>
  </si>
  <si>
    <t>这个调查到现在为止尚无进展。</t>
  </si>
  <si>
    <t>So far, there has been no progress in this investigation.</t>
  </si>
  <si>
    <t>这个问题想研究明白，尚需努力。</t>
  </si>
  <si>
    <t>We still need to work hard to understand this problem.</t>
  </si>
  <si>
    <t>7-9.019</t>
  </si>
  <si>
    <t>向来</t>
  </si>
  <si>
    <t>他这个人向来吃软不吃硬，你不能硬来。</t>
  </si>
  <si>
    <t>He has always been a soft man, but you can't be hard.</t>
  </si>
  <si>
    <t>他向来第一个到学校，从未迟到过。</t>
  </si>
  <si>
    <t>He is always the first to go to school and never late.</t>
  </si>
  <si>
    <t>7-9.020</t>
  </si>
  <si>
    <t>频频</t>
  </si>
  <si>
    <t>他频频与朋友们以及他的竞争者们打招呼。</t>
  </si>
  <si>
    <t>He often greets his friends and competitors.</t>
  </si>
  <si>
    <t>气氛十分热烈，大家频频举杯，说笑不停，非常高兴。</t>
  </si>
  <si>
    <t>The atmosphere was very warm. Everyone raised their glasses and talked and laughed. I was very happy.</t>
  </si>
  <si>
    <t>7-9.021</t>
  </si>
  <si>
    <t>再度</t>
  </si>
  <si>
    <t>这个班再度被评为“优秀班集体” 。</t>
  </si>
  <si>
    <t>This class was once again rated as "excellent class group".</t>
  </si>
  <si>
    <t>两位好友三十年后再度相遇。</t>
  </si>
  <si>
    <t>The two friends met again 30 years later.</t>
  </si>
  <si>
    <t>7-9.022</t>
  </si>
  <si>
    <t>亦</t>
  </si>
  <si>
    <t>此人并不存在， 将来亦不会出现，永远不会。</t>
  </si>
  <si>
    <t>This person does not exist, will not appear, and will never be.</t>
  </si>
  <si>
    <t>若能从失败中获得教训，失败亦是成功。</t>
  </si>
  <si>
    <t>If we can learn from failure, failure is also success.</t>
  </si>
  <si>
    <t>7-9.023</t>
  </si>
  <si>
    <t>未</t>
  </si>
  <si>
    <t>他至今还未和我联系。</t>
  </si>
  <si>
    <t>He hasn't contacted me yet.</t>
  </si>
  <si>
    <t>虽然他四十未到，但已经是很成熟的经理了。</t>
  </si>
  <si>
    <t>Although he is not forty, he is a mature manager.</t>
  </si>
  <si>
    <t>7-9.024</t>
  </si>
  <si>
    <t>希望各位勿忘十年后的约定。</t>
  </si>
  <si>
    <t>I hope you will not forget the agreement ten years from now.</t>
  </si>
  <si>
    <t>我在国外一切都很好，勿念。</t>
  </si>
  <si>
    <t>I'm doing well abroad. Don't worry about it.</t>
  </si>
  <si>
    <t>7-9.025</t>
  </si>
  <si>
    <t>看着父亲粗糙的手，我不由得流下了眼泪。</t>
  </si>
  <si>
    <t>Looking at my father's rough hands, I couldn't help but shed tears.</t>
  </si>
  <si>
    <t>看着毕业照，我不由得开始回忆起往事。</t>
  </si>
  <si>
    <t>Looking at the graduation photos, I can't help recalling the past.</t>
  </si>
  <si>
    <t>7-9.026</t>
  </si>
  <si>
    <t>顺便</t>
  </si>
  <si>
    <t>去老师办公室的时候，他顺便把我的作业也交了。</t>
  </si>
  <si>
    <t>When I went to the teacher's office, he handed in my homework by the way.</t>
  </si>
  <si>
    <t>我到了上海，顺便去看望了小学老师。</t>
  </si>
  <si>
    <t>When I arrived in Shanghai, I went to see my primary school teacher.</t>
  </si>
  <si>
    <t>7-9.027</t>
  </si>
  <si>
    <t>一连</t>
  </si>
  <si>
    <t>这场大雨一连下了十多天，也就把工人们困在这里十多天。</t>
  </si>
  <si>
    <t>The heavy rain lasted for more than ten days, and the workers were trapped here for more than ten days.</t>
  </si>
  <si>
    <t>他上了床，在一连三天三夜没睡好以后终于能舒舒服服地睡上一觉了。</t>
  </si>
  <si>
    <t>He went to bed and finally got a comfortable sleep after three days and nights of sleep.</t>
  </si>
  <si>
    <t>7-9.028</t>
  </si>
  <si>
    <t>按说</t>
  </si>
  <si>
    <t>按说现在是蔬菜供应淡季，可是这里的蔬菜种类还是不少。</t>
  </si>
  <si>
    <t>It's the off-season of vegetable supply, but there are still many kinds of vegetables here.</t>
  </si>
  <si>
    <t>按说这个时候应该下雪了，可今年一场雪还没下。</t>
  </si>
  <si>
    <t>It should have snowed at this time, but it hasn't snowed this year.</t>
  </si>
  <si>
    <t>7-9.029</t>
  </si>
  <si>
    <t>必定</t>
  </si>
  <si>
    <t>若是有个太太照顾着他，他的生活必定不会那么乱七八糟了。</t>
  </si>
  <si>
    <t>If he had a wife to take care of him, his life would not be so messy.</t>
  </si>
  <si>
    <t>倘若他们想要人为地挽救这一文明，必定会失败。</t>
  </si>
  <si>
    <t>If they want to save this civilization artificially, they will surely fail.</t>
  </si>
  <si>
    <t>7-9.030</t>
  </si>
  <si>
    <t>不妨</t>
  </si>
  <si>
    <t>据说这个药效果很好，你不妨试一试。</t>
  </si>
  <si>
    <t>It is said that this medicine works very well. You might as well have a try.</t>
  </si>
  <si>
    <t>关于这个问题，咱们不妨听一听别人的建议。</t>
  </si>
  <si>
    <t>We might as well listen to other people's advice on this problem.</t>
  </si>
  <si>
    <t>7-9.031</t>
  </si>
  <si>
    <t>我只是和你开玩笑，何必当真呢？</t>
  </si>
  <si>
    <t>I'm just joking with you. Why take it seriously?</t>
  </si>
  <si>
    <t>咱们是老同学，何必这么客气。</t>
  </si>
  <si>
    <t>We are old classmates. Why are you so polite.</t>
  </si>
  <si>
    <t>7-9.032</t>
  </si>
  <si>
    <t>莫非</t>
  </si>
  <si>
    <t>她今天没来学校，莫非出了什么事？</t>
  </si>
  <si>
    <t>She didn't come to school today. What happened?</t>
  </si>
  <si>
    <t>你平时不认真学习，莫非要等到期末考试了才开始紧张吗？</t>
  </si>
  <si>
    <t>You don't study hard at ordinary times. Do you have to wait until the final exam?</t>
  </si>
  <si>
    <t>7-9.033</t>
  </si>
  <si>
    <t>白白</t>
  </si>
  <si>
    <t>她忘了关水龙头，白白浪费了很多水。</t>
  </si>
  <si>
    <t>She forgot to turn off the tap and wasted a lot of water.</t>
  </si>
  <si>
    <t>这次投资失败了，让公司白白损失了很多钱。</t>
  </si>
  <si>
    <t>The failure of the investment cost the company a lot of money.</t>
  </si>
  <si>
    <t>7-9.034</t>
  </si>
  <si>
    <t>反倒</t>
  </si>
  <si>
    <t>明明是你的错，怎么反倒怪我了？</t>
  </si>
  <si>
    <t>It's obviously your fault. Why do you blame me?</t>
  </si>
  <si>
    <t>他越是在困难的时候反倒越能坚持。</t>
  </si>
  <si>
    <t>The more difficult he is, the more persistent he is.</t>
  </si>
  <si>
    <t>7-9.035</t>
  </si>
  <si>
    <t>分明</t>
  </si>
  <si>
    <t>我分明看他走过来了，怎么一下子就不见了呢？</t>
  </si>
  <si>
    <t>I can see clearly that he has come. How can he disappear all of a sudden?</t>
  </si>
  <si>
    <t>让我三天就完成，你分明是在为难我。</t>
  </si>
  <si>
    <t>Let me finish it in three days, you are obviously in a dilemma.</t>
  </si>
  <si>
    <t>7-9.036</t>
  </si>
  <si>
    <t>怪不得</t>
  </si>
  <si>
    <t>怪不得她没去爬山，原来昨天下雨了。</t>
  </si>
  <si>
    <t>No wonder she didn't go climbing. It rained yesterday.</t>
  </si>
  <si>
    <t>这姑娘漂亮，人品也好，怪不得有很多男孩儿喜欢她。</t>
  </si>
  <si>
    <t>The girl is beautiful and of good character. No wonder many boys like her.</t>
  </si>
  <si>
    <t>7-9.037</t>
  </si>
  <si>
    <t>好在</t>
  </si>
  <si>
    <t>好在你现在也在北京，你们可以互相照顾。</t>
  </si>
  <si>
    <t>Fortunately, you are also in Beijing now. You can take care of each other.</t>
  </si>
  <si>
    <t>好在他病得不重，应该马上就能上班了。</t>
  </si>
  <si>
    <t>Fortunately, he is not seriously ill and should be able to go to work soon.</t>
  </si>
  <si>
    <t>7-9.038</t>
  </si>
  <si>
    <t>乃</t>
  </si>
  <si>
    <t>《红楼梦》乃古代小说的杰出代表。</t>
  </si>
  <si>
    <t>A dream of Red Mansions is an outstanding representative of ancient novels.</t>
  </si>
  <si>
    <t>失败乃成功之母。</t>
  </si>
  <si>
    <t>Failure is the mother of success.</t>
  </si>
  <si>
    <t>7-9.039</t>
  </si>
  <si>
    <t>难怪</t>
  </si>
  <si>
    <t>这道题非常难，难怪她一时答不出来。</t>
  </si>
  <si>
    <t>This question is very difficult. No wonder she can't answer it at the moment.</t>
  </si>
  <si>
    <t>他是个东北人，难怪他不怕冷。</t>
  </si>
  <si>
    <t>He is a northeasterner. No wonder he is not afraid of cold.</t>
  </si>
  <si>
    <t>7-9.040</t>
  </si>
  <si>
    <t>偏偏</t>
  </si>
  <si>
    <t>周围这么多漂亮的女生，你怎么偏偏喜欢她？</t>
  </si>
  <si>
    <t>There are so many beautiful girls around, how do you like her?</t>
  </si>
  <si>
    <t>我们已经穿好衣服准备要走了，可孩子偏偏又醒了。</t>
  </si>
  <si>
    <t>We were dressed and ready to go, but the child woke up again.</t>
  </si>
  <si>
    <t>7-9.041</t>
  </si>
  <si>
    <t>索性</t>
  </si>
  <si>
    <t>衣服已经被雨淋湿了，我索性就合上了伞，直接在雨中散步了。</t>
  </si>
  <si>
    <t>Clothes have been wet in the rain, so I simply closed my umbrella and went for a walk in the rain.</t>
  </si>
  <si>
    <t>现在已经很晚了，我索性直接在外面吃完饭再回家好了。</t>
  </si>
  <si>
    <t>It's very late now. I'll just eat out and go home.</t>
  </si>
  <si>
    <t>7-9.042</t>
  </si>
  <si>
    <t>万万</t>
  </si>
  <si>
    <t>万万不能开着煤气出门。</t>
  </si>
  <si>
    <t>Never go out with the gas on.</t>
  </si>
  <si>
    <t>触犯法律的事情是万万干不得的。</t>
  </si>
  <si>
    <t>You can't do anything that violates the law.</t>
  </si>
  <si>
    <t>7-9.043</t>
  </si>
  <si>
    <t>未免</t>
  </si>
  <si>
    <t>这道题未免也太难了吧。</t>
  </si>
  <si>
    <t>This question is too difficult.</t>
  </si>
  <si>
    <t>你这样说她，未免也太过分了。</t>
  </si>
  <si>
    <t>It's too much for you to say that about her.</t>
  </si>
  <si>
    <t>7-9.044</t>
  </si>
  <si>
    <t>他这么做，无非是为了早点儿回家。</t>
  </si>
  <si>
    <t>He did it just to get home early.</t>
  </si>
  <si>
    <t>她想要的无非是一份稳定的工作。</t>
  </si>
  <si>
    <t>All she wants is a stable job.</t>
  </si>
  <si>
    <t>7-9.045</t>
  </si>
  <si>
    <t>幸好</t>
  </si>
  <si>
    <t>他来的时候，幸好我在家，不然他又该生气了。</t>
  </si>
  <si>
    <t>Fortunately I was at home when he came, otherwise he would be angry again.</t>
  </si>
  <si>
    <t>幸好你提醒了我，要不我就忘了。</t>
  </si>
  <si>
    <t>I'm glad you reminded me, or I'll forget.</t>
  </si>
  <si>
    <t>7-9.046</t>
  </si>
  <si>
    <t>幸亏</t>
  </si>
  <si>
    <t>幸亏你回来得早，不然我就不知道怎么办才好了。</t>
  </si>
  <si>
    <t>Fortunately you came back early, otherwise I don't know what to do.</t>
  </si>
  <si>
    <t>我们幸亏走了这条路，才没碰到堵车。</t>
  </si>
  <si>
    <t>Thanks to this road, we didn't meet the traffic jam.</t>
  </si>
  <si>
    <t>7-9.047</t>
  </si>
  <si>
    <t>他终究是个孩子，你得耐心一点儿。</t>
  </si>
  <si>
    <t>He is a child after all. You have to be patient.</t>
  </si>
  <si>
    <t>你们对工作这么不负责任，终究会出问题的。</t>
  </si>
  <si>
    <t>If you are so irresponsible to your work, there will be problems in the end.</t>
  </si>
  <si>
    <t>7-9.048</t>
  </si>
  <si>
    <t>顺着</t>
  </si>
  <si>
    <t>雨水顺着我的头发滴了下来。</t>
  </si>
  <si>
    <t>The rain dripped down my hair.</t>
  </si>
  <si>
    <t>我们就顺着这条路走，走到哪儿算哪儿。</t>
  </si>
  <si>
    <t>We'll go along this road, where we go.</t>
  </si>
  <si>
    <t>7-9.049</t>
  </si>
  <si>
    <t>当着</t>
  </si>
  <si>
    <t>当着我的面，你有什么想说的就都说出来吧。</t>
  </si>
  <si>
    <t>In front of me, say what you want to say.</t>
  </si>
  <si>
    <t>我当着大家的面把礼物拆开了。</t>
  </si>
  <si>
    <t>I opened the present in front of everyone.</t>
  </si>
  <si>
    <t>7-9.050</t>
  </si>
  <si>
    <t>就这个问题</t>
  </si>
  <si>
    <t>他已就这个问题做了检讨。</t>
  </si>
  <si>
    <t>He has reviewed the issue.</t>
  </si>
  <si>
    <t>就此</t>
  </si>
  <si>
    <t>我想就如何找到自己满意的工作这个问题来谈一谈。</t>
  </si>
  <si>
    <t>I want to talk about how to find a satisfactory job.</t>
  </si>
  <si>
    <t>7-9.051</t>
  </si>
  <si>
    <t>趁你还年轻，一定要多尝试。</t>
  </si>
  <si>
    <t>Try more while you are young.</t>
  </si>
  <si>
    <t>趁火车还没开，你现在还能下车。</t>
  </si>
  <si>
    <t>Before the train leaves, you can get off now.</t>
  </si>
  <si>
    <t>7-9.052</t>
  </si>
  <si>
    <t>基于</t>
  </si>
  <si>
    <t>这两种不同的人生态度是基于对人生不同的理解。</t>
  </si>
  <si>
    <t>These two different attitudes towards life are based on different understandings of life.</t>
  </si>
  <si>
    <t>你的结论都基于假设，所以不可信。</t>
  </si>
  <si>
    <t>Your conclusions are based on assumptions, so they are not credible.</t>
  </si>
  <si>
    <t>7-9.053</t>
  </si>
  <si>
    <t>依</t>
  </si>
  <si>
    <t>依你看，这件事该怎么解决？</t>
  </si>
  <si>
    <t>In your opinion, how should this matter be solved?</t>
  </si>
  <si>
    <t>这件事就依你的方案做吧。</t>
  </si>
  <si>
    <t>Let's do it according to your plan.</t>
  </si>
  <si>
    <t>7-9.054</t>
  </si>
  <si>
    <t>及</t>
  </si>
  <si>
    <t>工人、农民及士兵都参加了此次会议。</t>
  </si>
  <si>
    <t>Workers, farmers and soldiers all attended the meeting.</t>
  </si>
  <si>
    <t>现急需煤炭、石油、电力及其他能源。</t>
  </si>
  <si>
    <t>There is an urgent need for coal, oil, electricity and other energy.</t>
  </si>
  <si>
    <t>7-9.055</t>
  </si>
  <si>
    <t>继而、要不是</t>
  </si>
  <si>
    <t>继而</t>
  </si>
  <si>
    <t>他本来不同意的，可继而一想，又觉得是一个好机会。</t>
  </si>
  <si>
    <t>He didn't agree, but when he thought about it, he thought it was a good opportunity.</t>
  </si>
  <si>
    <t>人民币升值将会影响到中国的出口，继而影响中国的经济增长。</t>
  </si>
  <si>
    <t>RMB appreciation will affect China's exports, and then affect China's economic growth.</t>
  </si>
  <si>
    <t>要不是</t>
  </si>
  <si>
    <t>要不是老师帮我，我也不能写好这篇文章。</t>
  </si>
  <si>
    <t>If the teacher didn't help me, I couldn't write this article well.</t>
  </si>
  <si>
    <t>要不是他推迟回国，也不会赶不上面试。</t>
  </si>
  <si>
    <t>If he had not delayed his return, he would not have missed the interview.</t>
  </si>
  <si>
    <t>7-9.056</t>
  </si>
  <si>
    <t>之</t>
  </si>
  <si>
    <t>我们可以将北京描绘为一本梦之书。</t>
  </si>
  <si>
    <t>We can describe Beijing as a Book of dreams.</t>
  </si>
  <si>
    <t>由于做了好事，做出了贡献，因此他得到所爱之人的欣赏。</t>
  </si>
  <si>
    <t>He is appreciated by his loved ones for his good deeds and contributions.</t>
  </si>
  <si>
    <t>7-9.057</t>
  </si>
  <si>
    <t>而已</t>
  </si>
  <si>
    <t>这算什么，只是一堆纸而已。</t>
  </si>
  <si>
    <t>It's nothing but a pile of paper.</t>
  </si>
  <si>
    <t>我不过是出于好奇，随便问问而已。</t>
  </si>
  <si>
    <t>I just asked out of curiosity.</t>
  </si>
  <si>
    <t>7-9.058</t>
  </si>
  <si>
    <t>矣</t>
  </si>
  <si>
    <t>人生得一知己足矣。</t>
  </si>
  <si>
    <t>It is enough to have a confidant in life.</t>
  </si>
  <si>
    <t>他的想法可谓多矣。</t>
  </si>
  <si>
    <t>He has many ideas.</t>
  </si>
  <si>
    <t>7-9.059</t>
  </si>
  <si>
    <t>数词＋量词＋抽象事物</t>
  </si>
  <si>
    <t>一身</t>
  </si>
  <si>
    <t>他有一身本领，颇有才华。</t>
  </si>
  <si>
    <t>He has a lot of talent.</t>
  </si>
  <si>
    <t>一团</t>
  </si>
  <si>
    <t>这里虽然听不见什么争吵声，但并不是一团和气。</t>
  </si>
  <si>
    <t>Although there is no quarrel here, it is not a peaceful one.</t>
  </si>
  <si>
    <t>7-9.060</t>
  </si>
  <si>
    <t>爱A不A</t>
  </si>
  <si>
    <t>爱_不_</t>
  </si>
  <si>
    <t>他瞧不起她，对她总是一副爱理不理的样子。</t>
  </si>
  <si>
    <t>He looks down on her and always looks indifferent to her.</t>
  </si>
  <si>
    <t>这是我的想法，你爱听不听。</t>
  </si>
  <si>
    <t>That's my idea. Do you like it or not.</t>
  </si>
  <si>
    <t>7-9.061</t>
  </si>
  <si>
    <t>半A半B</t>
  </si>
  <si>
    <t>半_半_</t>
  </si>
  <si>
    <t>他说话半真半假，你不要完全相信他。</t>
  </si>
  <si>
    <t>He is half true and half false. Don't trust him completely.</t>
  </si>
  <si>
    <t>突然听到明天放假的消息，我一直半信半疑。</t>
  </si>
  <si>
    <t>When I heard the news of tomorrow's holiday, I was always dubious.</t>
  </si>
  <si>
    <t>7-9.062</t>
  </si>
  <si>
    <t>东A西B</t>
  </si>
  <si>
    <t>东_西_</t>
  </si>
  <si>
    <t>她买东西就喜欢东挑西选。</t>
  </si>
  <si>
    <t>She likes to pick things up.</t>
  </si>
  <si>
    <t>为了买到一张火车票，我东奔西跑，累得一身汗。</t>
  </si>
  <si>
    <t>In order to buy a train ticket, I ran around, sweating all over.</t>
  </si>
  <si>
    <t>7-9.063</t>
  </si>
  <si>
    <t>非A非B</t>
  </si>
  <si>
    <t>非_非_</t>
  </si>
  <si>
    <t>这场悲剧的制造者非你非我，另有他人。</t>
  </si>
  <si>
    <t>It's not you, it's not me, it's someone else.</t>
  </si>
  <si>
    <t>我们非敌非友，只是那天见过一面而已。</t>
  </si>
  <si>
    <t>We are neither enemies nor friends. We just met once that day.</t>
  </si>
  <si>
    <t>7-9.064</t>
  </si>
  <si>
    <t>忽A忽B</t>
  </si>
  <si>
    <t>忽_忽_</t>
  </si>
  <si>
    <t>叔叔书房的门关着，里边的说话声忽高忽低。</t>
  </si>
  <si>
    <t>The door of uncle's study was closed, and the voice inside was high and low.</t>
  </si>
  <si>
    <t>他十分紧张，心跳得忽快忽慢。</t>
  </si>
  <si>
    <t>He was very nervous and his heart beat fast and slow.</t>
  </si>
  <si>
    <t>7-9.065</t>
  </si>
  <si>
    <t>连A带B</t>
  </si>
  <si>
    <t>连_带_</t>
  </si>
  <si>
    <t>几个小孩儿吓得连哭带叫。</t>
  </si>
  <si>
    <t>Several children were so scared that they cried and screamed.</t>
  </si>
  <si>
    <t>信是男朋友写的，她高兴得连蹦带跳。</t>
  </si>
  <si>
    <t>The letter was written by her boyfriend. She was so happy.</t>
  </si>
  <si>
    <t>7-9.066</t>
  </si>
  <si>
    <t>时A时B</t>
  </si>
  <si>
    <t>时_时_</t>
  </si>
  <si>
    <t>小鸟发出的声音时长时短。</t>
  </si>
  <si>
    <t>The sound of a bird lasts for a short time.</t>
  </si>
  <si>
    <t>他的成绩时好时坏，老师也拿他没办法。</t>
  </si>
  <si>
    <t>His grades are good and bad, and the teacher can't help him.</t>
  </si>
  <si>
    <t>7-9.067</t>
  </si>
  <si>
    <t>自A自B</t>
  </si>
  <si>
    <t>自_自_</t>
  </si>
  <si>
    <t>一路上老板自说自话捞叨了半天。</t>
  </si>
  <si>
    <t>The boss talked to himself all the way.</t>
  </si>
  <si>
    <t>想到你对我们工作的破坏，我应该让你自作自受才对。</t>
  </si>
  <si>
    <t>Thinking of the damage you have done to our work, I should let you suffer.</t>
  </si>
  <si>
    <t>7-9.068</t>
  </si>
  <si>
    <t>他一口气跑了半个多小时，巴不得一步就到家。</t>
  </si>
  <si>
    <t>After running for more than half an hour, he was eager to get home in one step.</t>
  </si>
  <si>
    <t>我恨这个行业，巴不得早点儿离开。</t>
  </si>
  <si>
    <t>I hate this industry and I'm eager to leave early.</t>
  </si>
  <si>
    <t>7-9.069</t>
  </si>
  <si>
    <t>别提了</t>
  </si>
  <si>
    <t>晚饭还没开始吃他就已经醉了，后来就更别提了。</t>
  </si>
  <si>
    <t>He was drunk before dinner, let alone later.</t>
  </si>
  <si>
    <t>别提了，我根本都不认识那个人，他硬拉着我不让我走。</t>
  </si>
  <si>
    <t>Don't mention it. I don't know that man at all. He holds me back.</t>
  </si>
  <si>
    <t>7-9.070</t>
  </si>
  <si>
    <t>除此之外</t>
  </si>
  <si>
    <t>他是个老师，除此之外，我不知道别的。</t>
  </si>
  <si>
    <t>He is a teacher. I don't know anything else.</t>
  </si>
  <si>
    <t>我只带了一个书包，除此之外什么都没带。</t>
  </si>
  <si>
    <t>I have only one schoolbag with me and nothing else.</t>
  </si>
  <si>
    <t>7-9.071</t>
  </si>
  <si>
    <t>人生归根到底是一个人的旅行。</t>
  </si>
  <si>
    <t>In the final analysis, life is a person's journey.</t>
  </si>
  <si>
    <t>归根到底，成长是一种幸福。</t>
  </si>
  <si>
    <t>In the final analysis, growth is a kind of happiness.</t>
  </si>
  <si>
    <t>7-9.072</t>
  </si>
  <si>
    <t>可不是</t>
  </si>
  <si>
    <t>甲：什么？ 我们家出事了？</t>
  </si>
  <si>
    <t>A: what? What happened to our family?</t>
  </si>
  <si>
    <t>乙：可不是，警察都已经来了。</t>
  </si>
  <si>
    <t>B: Indeed, the police are already here.</t>
  </si>
  <si>
    <t>甲：小孩子长得真快啊！</t>
  </si>
  <si>
    <t>A: how fast children grow!</t>
  </si>
  <si>
    <t>乙：可不是，已经要上小学了。</t>
  </si>
  <si>
    <t>B: Indeed, I'm going to primary school.</t>
  </si>
  <si>
    <t>7-9.073</t>
  </si>
  <si>
    <t>没说的</t>
  </si>
  <si>
    <t>我愿意做这件事，那是没说的，只是我不知道还能做多长时间。</t>
  </si>
  <si>
    <t>I'm willing to do it, that’s for sure, but I don't know how long I can do it.</t>
  </si>
  <si>
    <t>新来的领导我都见过了，真是没说的！</t>
  </si>
  <si>
    <t>I've met all the new leaders. I really didn't say that!</t>
  </si>
  <si>
    <t>7-9.074</t>
  </si>
  <si>
    <t>无论如何</t>
  </si>
  <si>
    <t>无论如何，他没有别的选择。</t>
  </si>
  <si>
    <t>In any case, he has no other choice.</t>
  </si>
  <si>
    <t>听到这里，他无论如何也不答应。</t>
  </si>
  <si>
    <t>Hearing this, he would not agree at all.</t>
  </si>
  <si>
    <t>7-9.075</t>
  </si>
  <si>
    <t>由此可见</t>
  </si>
  <si>
    <t>很多中国孩子从小学习书法，由此可见书法在中国教育中的重要地位。</t>
  </si>
  <si>
    <t>Many Chinese children learn calligraphy from childhood, which shows the important position of calligraphy in Chinese education.</t>
  </si>
  <si>
    <t>7-9.076</t>
  </si>
  <si>
    <t>与此同时</t>
  </si>
  <si>
    <t>太阳落山了，几乎与此同时下起了大雨。</t>
  </si>
  <si>
    <t>The sun set and it rained almost at the same time.</t>
  </si>
  <si>
    <t>几个月之后，他的眼睛开始不停地流眼泪，与此同时他的视力也变得越来越差。</t>
  </si>
  <si>
    <t>A few months later, his eyes began to shed tears, while his eyesight became worse and worse.</t>
  </si>
  <si>
    <t>7-9.077</t>
  </si>
  <si>
    <t>这样一来</t>
  </si>
  <si>
    <t>这些小鸟总是在唱歌，这样一来，我家门前可热闹了。</t>
  </si>
  <si>
    <t>These birds are always singing. In this way, my house is very busy.</t>
  </si>
  <si>
    <t>他听了医生的话，每天都去外面散步，这样一来，他的病很快就好了。</t>
  </si>
  <si>
    <t>He listened to the doctor's advice and went out for a walk every day. In this way, he soon recovered.</t>
  </si>
  <si>
    <t>7-9.078</t>
  </si>
  <si>
    <t>综上所述</t>
  </si>
  <si>
    <t>综上所述，如果希望交流顺利地进行，需要大家共同努力。</t>
  </si>
  <si>
    <t>To sum up, if we want the exchange to go smoothly, we need to work together.</t>
  </si>
  <si>
    <t>综上所述，随着科技的发展，人们越来越依赖手机。</t>
  </si>
  <si>
    <t>To sum up, with the development of science and technology, people are more and more dependent on mobile phones.</t>
  </si>
  <si>
    <t>7-9.079</t>
  </si>
  <si>
    <t>总的来说／总而言之</t>
  </si>
  <si>
    <t>总的来说，他的身体状态还算不错。</t>
  </si>
  <si>
    <t>On the whole, he is in good shape.</t>
  </si>
  <si>
    <t>她的专业能力很不错，工作态度总的来说也很端正，是个很好的合作伙伴。</t>
  </si>
  <si>
    <t>Her professional ability is very good, working attitude is also very good, is a very good partner.</t>
  </si>
  <si>
    <t>总而言之</t>
  </si>
  <si>
    <t>总而言之，最重要的应该是过程，而不是结果。</t>
  </si>
  <si>
    <t>In a word, the most important thing is the process, not the result.</t>
  </si>
  <si>
    <t>总而言之一句话，我不喜欢他。</t>
  </si>
  <si>
    <t>In a word, I don't like him.</t>
  </si>
  <si>
    <t>7-9.080</t>
  </si>
  <si>
    <t>不知…… 好</t>
  </si>
  <si>
    <t>不知___好</t>
  </si>
  <si>
    <t>这件事很复杂，不知如何解决才好。</t>
  </si>
  <si>
    <t>This matter is very complicated. I don't know how to solve it.</t>
  </si>
  <si>
    <t>说什么好</t>
  </si>
  <si>
    <t>看他紧张得手心都是汗，我也不知说什么好。</t>
  </si>
  <si>
    <t>I don't know what to say when he is so nervous that his palms are sweaty.</t>
  </si>
  <si>
    <t>7-9.081</t>
  </si>
  <si>
    <t>所谓…… 就是……</t>
  </si>
  <si>
    <t>所谓*就是*</t>
  </si>
  <si>
    <t>房内没有一样值钱的东西，所谓家具就是这几把椅子。</t>
  </si>
  <si>
    <t>There is nothing valuable in the room. The so-called furniture is these chairs.</t>
  </si>
  <si>
    <t>他所谓的好家庭就是住在一栋大房子里，妻子穿着漂亮的衣服。</t>
  </si>
  <si>
    <t>His so-called good family is living in a big house with his wife in beautiful clothes.</t>
  </si>
  <si>
    <t>7-9.082</t>
  </si>
  <si>
    <t>无非／不过／只不过／只是…… 而已／罢了</t>
  </si>
  <si>
    <t>无非*罢了</t>
  </si>
  <si>
    <t>不要相信他，这无非是他的借口罢了。</t>
  </si>
  <si>
    <t>Don't believe him. It's just his excuse.</t>
  </si>
  <si>
    <t>不过*而已</t>
  </si>
  <si>
    <t>我这么说没有其他意思，不过是想鼓励他而已。</t>
  </si>
  <si>
    <t>I don't mean anything else, but I just want to encourage him.</t>
  </si>
  <si>
    <t>只不过*而已</t>
  </si>
  <si>
    <t>她会做这道题，只不过假装不会而已。</t>
  </si>
  <si>
    <t>She can do the problem, just pretending not to.</t>
  </si>
  <si>
    <t>只是*罢了</t>
  </si>
  <si>
    <t>大家都说爱情很快就会过去，剩下的只是习惯罢了。</t>
  </si>
  <si>
    <t>Everyone said that love will soon pass, the rest is just habits.</t>
  </si>
  <si>
    <t>7-9.083</t>
  </si>
  <si>
    <t>以…… 为……</t>
  </si>
  <si>
    <t>以*为*</t>
  </si>
  <si>
    <t>我们不能以自己为中心，要考虑别人的感受。</t>
  </si>
  <si>
    <t>We can't take ourselves as the center, we should consider the feelings of others.</t>
  </si>
  <si>
    <t>她以和平为主题，创作了一部小说。</t>
  </si>
  <si>
    <t>She wrote a novel with the theme of peace.</t>
  </si>
  <si>
    <t>7-9.084</t>
  </si>
  <si>
    <t>因…… 而……</t>
  </si>
  <si>
    <t>因*而*</t>
  </si>
  <si>
    <t>我经常看到他因一件小事而快乐的场景。</t>
  </si>
  <si>
    <t>I often see him happy because of a small thing.</t>
  </si>
  <si>
    <t>她胆子很大，不会因一些奇怪的声音而害怕。</t>
  </si>
  <si>
    <t>She is brave enough not to be afraid of strange sounds.</t>
  </si>
  <si>
    <t>7-9.085</t>
  </si>
  <si>
    <t>（方式宾语）</t>
  </si>
  <si>
    <t>踢正步</t>
  </si>
  <si>
    <t>(means as object)</t>
  </si>
  <si>
    <t>为了方便取出来，他把钱存了个活期。</t>
  </si>
  <si>
    <t>In order to get it out easily, he put the money in a current account.</t>
  </si>
  <si>
    <t>为了节省时间，这封信还是寄航空吧。</t>
  </si>
  <si>
    <t>To save time, send this letter by air.</t>
  </si>
  <si>
    <t>（工具宾语）</t>
  </si>
  <si>
    <t>打电脑</t>
  </si>
  <si>
    <t>(instrument as object)</t>
  </si>
  <si>
    <t>他坚持每天写毛笔。</t>
  </si>
  <si>
    <t>He insisted on writing brush every day.</t>
  </si>
  <si>
    <t>他吃大碗，我吃小碗。</t>
  </si>
  <si>
    <t>He eats big bowl, I eat small bowl.</t>
  </si>
  <si>
    <t>（材料宾语）</t>
  </si>
  <si>
    <t>(material as object)</t>
  </si>
  <si>
    <t>新手养菊花，该如何浇水？</t>
  </si>
  <si>
    <t>Novice raise chrysanthemum, how to water?</t>
  </si>
  <si>
    <t>他在脸上盖一张报纸睡着了。</t>
  </si>
  <si>
    <t>He put a newspaper on his face and fell asleep.</t>
  </si>
  <si>
    <t>（目的宾语）</t>
  </si>
  <si>
    <t>拉关系</t>
  </si>
  <si>
    <t>(purpose as object)</t>
  </si>
  <si>
    <t>为了拍这部电影，他到处去拉赞助。</t>
  </si>
  <si>
    <t>In order to make the film, he went all over for sponsorship.</t>
  </si>
  <si>
    <t>跑生意</t>
  </si>
  <si>
    <t>他在我们公司主要跑项目。</t>
  </si>
  <si>
    <t>He is mainly engaged in sports in our company.</t>
  </si>
  <si>
    <t>7-9.086</t>
  </si>
  <si>
    <t>形容词／动词＋得＋不行</t>
  </si>
  <si>
    <t>得不行</t>
  </si>
  <si>
    <t>终于要去旅游了，儿子兴奋得不行。</t>
  </si>
  <si>
    <t>Finally, I'm going to travel. My son is so excited.</t>
  </si>
  <si>
    <t>上学时我对体育课也是讨厌得不行。</t>
  </si>
  <si>
    <t>When I was in school, I hated physical education too much.</t>
  </si>
  <si>
    <t>形容词／动词＋得＋要命／要死</t>
  </si>
  <si>
    <t>得要命</t>
  </si>
  <si>
    <t>他人不大，但是脾气大得要命。</t>
  </si>
  <si>
    <t>He is not big, but he has a terrible temper.</t>
  </si>
  <si>
    <t>得要死</t>
  </si>
  <si>
    <t>我最近太忙了，每天累得要死。</t>
  </si>
  <si>
    <t>I've been so busy recently that I'm tired to death every day.</t>
  </si>
  <si>
    <t>7-9.087</t>
  </si>
  <si>
    <t>状态补语3：“个”引导的补语</t>
  </si>
  <si>
    <t>哭个</t>
  </si>
  <si>
    <t>那个小女孩儿哭个不停，说是找不到妈妈了。</t>
  </si>
  <si>
    <t>The little girl cried and said she couldn't find her mother.</t>
  </si>
  <si>
    <t>说个清楚</t>
  </si>
  <si>
    <t>他在我们面前说个没完。</t>
  </si>
  <si>
    <t>He talked endlessly in front of us.</t>
  </si>
  <si>
    <t>7-9.088</t>
  </si>
  <si>
    <t>“把”字句5：表致使</t>
  </si>
  <si>
    <t>去年她把丈夫死了，后来父母也去世了。</t>
  </si>
  <si>
    <t>She killed her husband last year and then her parents.</t>
  </si>
  <si>
    <t>钱没挣着，却把老公跑了。</t>
  </si>
  <si>
    <t>I didn't earn money, but I ran away from my husband.</t>
  </si>
  <si>
    <t>7-9.089</t>
  </si>
  <si>
    <t>被……所……</t>
  </si>
  <si>
    <t>被*所*</t>
  </si>
  <si>
    <t>这是我第一次感到自己被一个人所吸引。</t>
  </si>
  <si>
    <t>This is the first time I feel attracted to a person.</t>
  </si>
  <si>
    <t>没想到，他竟然会被一个小学生所欺骗。</t>
  </si>
  <si>
    <t>Unexpectedly, he would be cheated by a primary school student.</t>
  </si>
  <si>
    <t>为……所……</t>
  </si>
  <si>
    <t>为*所*</t>
  </si>
  <si>
    <t>他这种行为，为人类社会所不容。</t>
  </si>
  <si>
    <t>His behavior is not allowed by human society.</t>
  </si>
  <si>
    <t>领导的这种行为往往不为人所信任。</t>
  </si>
  <si>
    <t>This kind of behavior of leaders is often not trusted.</t>
  </si>
  <si>
    <t>7-9.090</t>
  </si>
  <si>
    <t>比起……（来）</t>
  </si>
  <si>
    <t>比起</t>
  </si>
  <si>
    <t>比起其他人，我的想法太简单了。</t>
  </si>
  <si>
    <t>Compared with other people, my idea is too simple.</t>
  </si>
  <si>
    <t>比起*来</t>
  </si>
  <si>
    <t>比起唱歌来，他更喜欢跳舞。</t>
  </si>
  <si>
    <t>He prefers dancing to singing.</t>
  </si>
  <si>
    <t>A＋形容词＋于＋B</t>
  </si>
  <si>
    <t>大于</t>
  </si>
  <si>
    <t>人的自我实现过程重于结果。</t>
  </si>
  <si>
    <t>The process of human self realization is more important than the result.</t>
  </si>
  <si>
    <t>高于</t>
  </si>
  <si>
    <t>在施工现场，工人们的安全高于一切，大于一切。</t>
  </si>
  <si>
    <t>In the construction site, the safety of workers is above everything, above all.</t>
  </si>
  <si>
    <t>A+ 比＋名词＋还＋名词</t>
  </si>
  <si>
    <t>他简直比强盗还强盗！</t>
  </si>
  <si>
    <t>He is more than a robber!</t>
  </si>
  <si>
    <t>在上流社会里，他装得比绅士还绅士。</t>
  </si>
  <si>
    <t>In high society, he pretends to be a gentleman more than a gentleman.</t>
  </si>
  <si>
    <t>7-9.091</t>
  </si>
  <si>
    <t>一面……， 一面……</t>
  </si>
  <si>
    <t>一面*一面*</t>
  </si>
  <si>
    <t>他一面听老师讲课，一面认真记笔记。</t>
  </si>
  <si>
    <t>He took notes carefully while listening to the teacher.</t>
  </si>
  <si>
    <t>他一面做作业，一面看电视，做事一点儿都不用心。</t>
  </si>
  <si>
    <t>He does his homework and watches TV at the same time. He doesn't pay attention to it at all.</t>
  </si>
  <si>
    <t>7-9.092</t>
  </si>
  <si>
    <t>……， 此后……</t>
  </si>
  <si>
    <t>此后</t>
  </si>
  <si>
    <t>我们三年前见过一面，此后再也没有见过。</t>
  </si>
  <si>
    <t>We met once three years ago and haven't seen each other since.</t>
  </si>
  <si>
    <t>她二十岁结了婚，此后丈夫生病，她照顾了四年。</t>
  </si>
  <si>
    <t>She married at the age of 20, and since then her husband has been ill and she has been taking care of her for four years.</t>
  </si>
  <si>
    <t>7-9.093</t>
  </si>
  <si>
    <t>起初……，……才……</t>
  </si>
  <si>
    <t>起初</t>
  </si>
  <si>
    <t>他起初没明白，后来才理解了游戏的规则。</t>
  </si>
  <si>
    <t>He didn't understand at first, but later he understood the rules of the game.</t>
  </si>
  <si>
    <t>我们起初不想参加的，只是不好意思拒绝，才去了那里。</t>
  </si>
  <si>
    <t>We didn't want to participate at first, but we were sorry to refuse, so we went there.</t>
  </si>
  <si>
    <t>7-9.094</t>
  </si>
  <si>
    <t>别说……，连/即使是……也／都……</t>
  </si>
  <si>
    <t>别说*了*都</t>
  </si>
  <si>
    <t>别说是大学生了，连小学生都比他写得好。</t>
  </si>
  <si>
    <t>Let alone college students, even primary school students write better than him.</t>
  </si>
  <si>
    <t>也*别说*了</t>
  </si>
  <si>
    <t>我现在穷得连饭也吃不起了，别说买新衣服了。</t>
  </si>
  <si>
    <t>I'm so poor that I can't afford to eat now, let alone buy new clothes.</t>
  </si>
  <si>
    <t>别说*即使*</t>
  </si>
  <si>
    <t>别说爸爸，即使是老师，也说不出这种植物的名字。</t>
  </si>
  <si>
    <t>Don't say dad, even the teacher can't say the name of this plant.</t>
  </si>
  <si>
    <t>即使*别说*</t>
  </si>
  <si>
    <t>即使是稍微有钱的家庭，也禁不住她这么花钱，别说普通家庭了。</t>
  </si>
  <si>
    <t>Even a family with a little money can't help her spending so much, let alone an ordinary family.</t>
  </si>
  <si>
    <t>7-9.095</t>
  </si>
  <si>
    <t>……，何况……</t>
  </si>
  <si>
    <t>何况</t>
  </si>
  <si>
    <t>我不道歉，何况根本不是我的错！</t>
  </si>
  <si>
    <t>I don't apologize, and it's not my fault at all!</t>
  </si>
  <si>
    <t>It takes a lot of time to do it, and there are so many customers today.</t>
  </si>
  <si>
    <t>7-9.096</t>
  </si>
  <si>
    <t>……，进而……</t>
  </si>
  <si>
    <t>只有在这样的国家里，教师才能充分发展，进而保护他自己和公共利益。</t>
  </si>
  <si>
    <t>Only in such a country can teachers fully develop and then protect themselves and the public interest.</t>
  </si>
  <si>
    <t>遇到困难不要回避，挺起身来向它挑战，进而战胜它。</t>
  </si>
  <si>
    <t>Don't avoid difficulties, stand up to challenge them and overcome them.</t>
  </si>
  <si>
    <t>7-9.097</t>
  </si>
  <si>
    <t>……， 况且……</t>
  </si>
  <si>
    <t>北京这么大，况且你又是第一次来，怎么能一下子就找到我家呢？</t>
  </si>
  <si>
    <t>Beijing is so big. Besides, it's your first time here. How can you find my home all at once?</t>
  </si>
  <si>
    <t>那时天已经黑了，况且人又坐在车上，肯定看不清楚。</t>
  </si>
  <si>
    <t>At that time, it was already dark. Besides, I couldn't see clearly when I was sitting in the car.</t>
  </si>
  <si>
    <t>7-9.098</t>
  </si>
  <si>
    <t>连……，更不用说……</t>
  </si>
  <si>
    <t>更不用说</t>
  </si>
  <si>
    <t>连他都不会，更不用说我了。</t>
  </si>
  <si>
    <t>Not even him, let alone me.</t>
  </si>
  <si>
    <t>我连上次的考试都没通过，更不用说这次的了。</t>
  </si>
  <si>
    <t>I didn't even pass the last exam, let alone this one.</t>
  </si>
  <si>
    <t>他连这几个字都不会写，更不用说写篇作文了。</t>
  </si>
  <si>
    <t>He can't even write these words, let alone write a composition.</t>
  </si>
  <si>
    <t>7-9.099</t>
  </si>
  <si>
    <t>……，乃至……</t>
  </si>
  <si>
    <t>乃至</t>
  </si>
  <si>
    <t>他的脸色、眼神，乃至一举一动，都被别人看得清清楚楚。</t>
  </si>
  <si>
    <t>His face, eyes and even every move were clearly seen by others.</t>
  </si>
  <si>
    <t>他熟悉北京，也熟悉巴黎，乃至全世界。</t>
  </si>
  <si>
    <t>He is familiar with Beijing, Paris and even the world.</t>
  </si>
  <si>
    <t>7-9.100</t>
  </si>
  <si>
    <t>……，且……</t>
  </si>
  <si>
    <t>且</t>
  </si>
  <si>
    <t>他办事严谨而认真，且十分负责，获得了领导的信任。</t>
  </si>
  <si>
    <t>He is rigorous and serious, and very responsible, and won the trust of the leadership.</t>
  </si>
  <si>
    <t>这一条街又脏又乱，总是很潮湿，且一年四季总不免有种古怪气味。</t>
  </si>
  <si>
    <t>The street is dirty and messy. It's always wet and has a strange smell all year round.</t>
  </si>
  <si>
    <t>7-9.101</t>
  </si>
  <si>
    <t>……，甚至于……</t>
  </si>
  <si>
    <t>甚至于</t>
  </si>
  <si>
    <t>她不能忍受这种想法，甚至于一秒钟也受不了。</t>
  </si>
  <si>
    <t>She couldn't stand the thought, even for a second.</t>
  </si>
  <si>
    <t>这个小姑娘始终都是那副模样，甚至于一点儿也没长高。</t>
  </si>
  <si>
    <t>The little girl was always like that, and she didn't even grow tall.</t>
  </si>
  <si>
    <t>7-9.102</t>
  </si>
  <si>
    <t>或……，或……</t>
  </si>
  <si>
    <t>或*或*</t>
  </si>
  <si>
    <t>他把信藏在某个秘密的地方了，或一块石头下面，或一棵树后面。</t>
  </si>
  <si>
    <t>He hid the letter in a secret place, under a stone or behind a tree.</t>
  </si>
  <si>
    <t>阿姨每次来我家都带着一群朋友，或二三人，或三四人，大家说说笑笑。</t>
  </si>
  <si>
    <t>Every time my aunt comes to my home, she brings a group of friends, or two or three or three or four. We talk and laugh.</t>
  </si>
  <si>
    <t>7-9.103</t>
  </si>
  <si>
    <t>宁可／宁愿……，也……</t>
  </si>
  <si>
    <t>宁可*也*</t>
  </si>
  <si>
    <t>他宁可饿着肚子去上课，也不愿意吃垃圾食品。</t>
  </si>
  <si>
    <t>He would rather go to class hungry than eat junk food.</t>
  </si>
  <si>
    <t>宁愿*也*</t>
  </si>
  <si>
    <t>他宁愿自己承担，也不肯把责任推给别人。</t>
  </si>
  <si>
    <t>He would rather bear the responsibility himself than shift it to others.</t>
  </si>
  <si>
    <t>7-9.104</t>
  </si>
  <si>
    <t>与其……，不如……</t>
  </si>
  <si>
    <t>与其*不如*</t>
  </si>
  <si>
    <t>与其去爬山， 还不如在家看电视。</t>
  </si>
  <si>
    <t>It's better to watch TV at home than to climb mountains.</t>
  </si>
  <si>
    <t>与其在这里浪费时间， 我们不如认真复习。</t>
  </si>
  <si>
    <t>Instead of wasting time here, we'd better review carefully.</t>
  </si>
  <si>
    <t>7-9.105</t>
  </si>
  <si>
    <t>与其……，宁可／宁愿……</t>
  </si>
  <si>
    <t>与其*宁可*</t>
  </si>
  <si>
    <t>与其在这里洗半天的衣服，我宁可去买新的。</t>
  </si>
  <si>
    <t>Instead of washing clothes here for half a day, I'd rather buy new ones.</t>
  </si>
  <si>
    <t>与其*宁愿*</t>
  </si>
  <si>
    <t>与其跟他一组，我宁愿一个人做这个项目。</t>
  </si>
  <si>
    <t>Instead of working with him, I'd rather do this project alone.</t>
  </si>
  <si>
    <t>7-9.106</t>
  </si>
  <si>
    <t>……，而……（则）……</t>
  </si>
  <si>
    <t>而*却*</t>
  </si>
  <si>
    <t>绝大多数的人用感觉来思考，而我却用思考来感觉。</t>
  </si>
  <si>
    <t>Most people think by feeling, but I feel by thinking.</t>
  </si>
  <si>
    <t>而*则*</t>
  </si>
  <si>
    <t>北方人过春节往往吃饺子，而南方人的习俗则是吃汤圆。</t>
  </si>
  <si>
    <t>People in the north often eat dumplings during the Spring Festival, while the custom of people in the south is to eat tangyuan.</t>
  </si>
  <si>
    <t>7-9.107</t>
  </si>
  <si>
    <t>……，……倒／反倒……</t>
  </si>
  <si>
    <t>倒把</t>
  </si>
  <si>
    <t>我好心劝他，他倒怪我，真是好笑！</t>
  </si>
  <si>
    <t>I tried to persuade him, but he blamed me. It's funny!</t>
  </si>
  <si>
    <t>听护士这么一说，他反倒放松了下来。</t>
  </si>
  <si>
    <t>He relaxed when the nurse said that.</t>
  </si>
  <si>
    <t>7-9.108</t>
  </si>
  <si>
    <t>倘若／若……，……</t>
  </si>
  <si>
    <t>若</t>
  </si>
  <si>
    <t>倘若这几个问题你都能解决，你一定会获得成功。</t>
  </si>
  <si>
    <t>If you can solve all these problems, you will succeed.</t>
  </si>
  <si>
    <t>倘若</t>
  </si>
  <si>
    <t>若不小心，是不是又会发生纠纷？</t>
  </si>
  <si>
    <t>If you are not careful, will there be another dispute?</t>
  </si>
  <si>
    <t>7-9.109</t>
  </si>
  <si>
    <t>倘若／假设／假使／若……，就／那（么）……</t>
  </si>
  <si>
    <t>倘若一点儿音乐知识都没有，就会遇到困难。</t>
  </si>
  <si>
    <t>If there is no knowledge of music, there will be difficulties.</t>
  </si>
  <si>
    <t>假设这是我们未来的家园，那这个世界就不会再有饥饿的儿童。</t>
  </si>
  <si>
    <t>If this is our future home, there will be no hungry children in this world.</t>
  </si>
  <si>
    <t>假使</t>
  </si>
  <si>
    <t>假使一切能重新开始，那么我绝不会选择这一条路。</t>
  </si>
  <si>
    <t>If everything can start again, then I will never choose this road.</t>
  </si>
  <si>
    <t>7-9.110</t>
  </si>
  <si>
    <t>幸亏……，要不然／不然／要不／否则……</t>
  </si>
  <si>
    <t>幸亏你提醒了我，要不然我就忘了。</t>
  </si>
  <si>
    <t>Thank you for reminding me, otherwise I would have forgotten.</t>
  </si>
  <si>
    <t>幸亏有你帮忙，不然我真不知道怎么办才好。</t>
  </si>
  <si>
    <t>Thanks for your help, otherwise I don't know what to do.</t>
  </si>
  <si>
    <t>7-9.111</t>
  </si>
  <si>
    <t>别管……，都……</t>
  </si>
  <si>
    <t>别管*都*</t>
  </si>
  <si>
    <t>别管台下坐的是谁，你都要充满信心。</t>
  </si>
  <si>
    <t>No matter who is sitting under the stage, you have to be confident.</t>
  </si>
  <si>
    <t>这样的话一出口，别管是谁，都得挨骂。</t>
  </si>
  <si>
    <t>In this case, no matter who it is, you will be scolded.</t>
  </si>
  <si>
    <t>7-9.112</t>
  </si>
  <si>
    <t>任……，也……</t>
  </si>
  <si>
    <t>任他</t>
  </si>
  <si>
    <t>任他们怎么推，也推不动。</t>
  </si>
  <si>
    <t>No matter how they push, they can't push.</t>
  </si>
  <si>
    <t>任你</t>
  </si>
  <si>
    <t>任他是什么高职位的人，也管不了我。</t>
  </si>
  <si>
    <t>No matter what high position he is, it doesn't matter to me.</t>
  </si>
  <si>
    <t>7-9.113</t>
  </si>
  <si>
    <t>（因）……，故……</t>
  </si>
  <si>
    <t>故不</t>
  </si>
  <si>
    <t>因不是体面的事情，故不敢说出来。</t>
  </si>
  <si>
    <t>It's not a respectable thing, so I dare not say it.</t>
  </si>
  <si>
    <t>故</t>
  </si>
  <si>
    <t>他已经适应了国外的生活，故不打算再回国。</t>
  </si>
  <si>
    <t>He has adapted to life abroad, so he doesn't plan to return home.</t>
  </si>
  <si>
    <t>7-9.114</t>
  </si>
  <si>
    <t>鉴于……，……</t>
  </si>
  <si>
    <t>鉴于他的表现良好，学校决定允许他回来上课。</t>
  </si>
  <si>
    <t>In view of his good performance, the school decided to allow him to come back to class.</t>
  </si>
  <si>
    <t>鉴于他在处理这种问题上毫无经验，公司决定派我来帮助他。</t>
  </si>
  <si>
    <t>In view of his inexperience in dealing with this kind of problem, the company decided to send me to help him.</t>
  </si>
  <si>
    <t>7-9.115</t>
  </si>
  <si>
    <t>（由于）……，以致……</t>
  </si>
  <si>
    <t>以致</t>
  </si>
  <si>
    <t>他睡过头了，以致错过了第一节课。</t>
  </si>
  <si>
    <t>He overslept and missed the first class.</t>
  </si>
  <si>
    <t>他由于学习不认真，以致考了最后一名。</t>
  </si>
  <si>
    <t>Because he didn't study hard, he came last in the exam.</t>
  </si>
  <si>
    <t>7-9.116</t>
  </si>
  <si>
    <t>……，以至于……</t>
  </si>
  <si>
    <t>以至于</t>
  </si>
  <si>
    <t>事情发展得太快，以至于大家都难以反应。</t>
  </si>
  <si>
    <t>Things are moving so fast that it's hard for everyone to react.</t>
  </si>
  <si>
    <t>这篇课文他读了很多遍，以至于全文都背得出来。</t>
  </si>
  <si>
    <t>He read the text so many times that he could recite the whole text.</t>
  </si>
  <si>
    <t>7-9.117</t>
  </si>
  <si>
    <t>之所以……，是因为／是由于……</t>
  </si>
  <si>
    <t>之所以</t>
  </si>
  <si>
    <t>这部电影之所以好看，是因为内容很有趣。</t>
  </si>
  <si>
    <t>The reason why the film is good is that the content is very interesting.</t>
  </si>
  <si>
    <t>妈妈之所以生气了，是由于他不肯承认自己的错误。</t>
  </si>
  <si>
    <t>Mother was angry because he refused to admit his mistake.</t>
  </si>
  <si>
    <t>7-9.118</t>
  </si>
  <si>
    <t>固然……，也……</t>
  </si>
  <si>
    <t>那固然是我们的习惯，也还需要有另外的理由。</t>
  </si>
  <si>
    <t>That's our habit, of course, and there are other reasons.</t>
  </si>
  <si>
    <t>他的话固然给我安慰，也使我难过。</t>
  </si>
  <si>
    <t>His words, of course, comforted and saddened me.</t>
  </si>
  <si>
    <t>7-9.119</t>
  </si>
  <si>
    <t>……固然……，但是／可是／不过……</t>
  </si>
  <si>
    <t>一个人的成功，聪明固然重要，但是努力更重要。</t>
  </si>
  <si>
    <t>A person's success, smart is important, but efforts are more important.</t>
  </si>
  <si>
    <t>网络固然给我们带来了便利，可是也给我们带来了麻烦。</t>
  </si>
  <si>
    <t>Network brings us convenience, but it also brings us trouble.</t>
  </si>
  <si>
    <t>这种方法固然有用，不过也不能解决根本问题。</t>
  </si>
  <si>
    <t>Although this method is useful, it can not solve the fundamental problem.</t>
  </si>
  <si>
    <t>7-9.120</t>
  </si>
  <si>
    <t>即便……，也……</t>
  </si>
  <si>
    <t>即便你成绩好，也不能骄傲。</t>
  </si>
  <si>
    <t>Even if you do well, you can't be proud.</t>
  </si>
  <si>
    <t>他眼神中充满的即便不是感动，至少也是同情。</t>
  </si>
  <si>
    <t>His eyes were filled with sympathy, if not emotion.</t>
  </si>
  <si>
    <t>7-9.121</t>
  </si>
  <si>
    <t>虽说……，但是／可是／不过……</t>
  </si>
  <si>
    <t>虽说</t>
  </si>
  <si>
    <t>虽说他年纪小，但是也不能过于任性。</t>
  </si>
  <si>
    <t>Although he is young, he can't be too headstrong.</t>
  </si>
  <si>
    <t>虽说中文很难，可是它很有趣。</t>
  </si>
  <si>
    <t>Chinese is very difficult, but it's very interesting.</t>
  </si>
  <si>
    <t>虽说这是件小事，不过我们应该重视起来。</t>
  </si>
  <si>
    <t>Although this is a small matter, we should pay attention to it.</t>
  </si>
  <si>
    <t>7-9.122</t>
  </si>
  <si>
    <t>纵然……，也……</t>
  </si>
  <si>
    <t>纵然</t>
  </si>
  <si>
    <t>我们的意见纵然不一致，也应当互相理解。</t>
  </si>
  <si>
    <t>We should understand each other even if we disagree.</t>
  </si>
  <si>
    <t>这事纵然不好，也是他们之间的事，就让他们自己处理吧。</t>
  </si>
  <si>
    <t>Even if it's not good, it's between them. Let them deal with it by themselves.</t>
  </si>
  <si>
    <t>7-9.123</t>
  </si>
  <si>
    <t>……，以……</t>
  </si>
  <si>
    <t>政府用他们的名字命名这条街，以纪念在战争中牺牲的战士。</t>
  </si>
  <si>
    <t>The government named the street after them in memory of the soldiers who died in the war.</t>
  </si>
  <si>
    <t>老师采用新的教学方法上课，以调动学生的积极性。</t>
  </si>
  <si>
    <t>Teachers adopt new teaching methods to arouse students' enthusiasm.</t>
  </si>
  <si>
    <t>7-9.124</t>
  </si>
  <si>
    <t>……，以免／免得……</t>
  </si>
  <si>
    <t>出门在外看好你的东西，以免丢失。</t>
  </si>
  <si>
    <t>Go out and watch your things to avoid losing them.</t>
  </si>
  <si>
    <t>你把这个写下来，免得过后忘记。</t>
  </si>
  <si>
    <t>You write this down so you don't forget it later.</t>
  </si>
  <si>
    <t>7-9.125</t>
  </si>
  <si>
    <t>……，也就是说……</t>
  </si>
  <si>
    <t>也就是说</t>
  </si>
  <si>
    <t>这是我的决定，也就是说不关你的事。</t>
  </si>
  <si>
    <t>It's my decision, which means it's none of your business.</t>
  </si>
  <si>
    <t>他说这是他新买的书，也就是说他不想借给我们看。</t>
  </si>
  <si>
    <t>He said it was his new book, which means he didn't want to lend it to us.</t>
  </si>
  <si>
    <t>7-9.126</t>
  </si>
  <si>
    <t>紧缩复句</t>
  </si>
  <si>
    <t>玩儿个</t>
  </si>
  <si>
    <t>要玩儿就玩儿个痛快，别总想工作。</t>
  </si>
  <si>
    <t>If you want to have a good time, don't always want to work.</t>
  </si>
  <si>
    <t>喝个</t>
  </si>
  <si>
    <t>喝就喝个够，今天不醉不回家。</t>
  </si>
  <si>
    <t>I'll drink enough. I won't go home until I'm drunk today.</t>
  </si>
  <si>
    <t>7-9.127</t>
  </si>
  <si>
    <t>动词（＋宾语1) ＋就＋动词（＋宾语1) ，别……</t>
  </si>
  <si>
    <t>走就走</t>
  </si>
  <si>
    <t>走就走，别用这个威胁我！</t>
  </si>
  <si>
    <t>Just go. Don't threaten me with this!</t>
  </si>
  <si>
    <t>离就离</t>
  </si>
  <si>
    <t>说几句就说几句，别太在意。</t>
  </si>
  <si>
    <t>Just say a few words, don't care too much.</t>
  </si>
  <si>
    <t>7-9.128</t>
  </si>
  <si>
    <t>三重或三重以上的复句</t>
  </si>
  <si>
    <t>而且</t>
  </si>
  <si>
    <t>他对中文感兴趣，而且对中国文化也十分好奇，所以决定去中国留学，但遭到了父母的反对。</t>
  </si>
  <si>
    <t>He was interested in Chinese and curious about Chinese culture, so he decided to study in China, but his parents opposed him.</t>
  </si>
  <si>
    <t>大家不要只看外面的风景，也不要只顾看手机，要看好自己的物品，以免产生不必要的损失。</t>
  </si>
  <si>
    <t>We should not only look at the scenery outside, nor just look at the mobile phone. We should look after our own goods to avoid unnecessary losses.</t>
  </si>
  <si>
    <t>自然也</t>
  </si>
  <si>
    <t>只要多练习，你的中文水平就会有进步，成绩也会提高， 自然也会得到奖学金。</t>
  </si>
  <si>
    <t>As long as you practice more, your Chinese level will be improved, your grades will be improved, and you will naturally get a scholarship.</t>
  </si>
  <si>
    <t>7-9.129</t>
  </si>
  <si>
    <t>何必／何苦……呢？</t>
  </si>
  <si>
    <t>这么简单的事我又何必一件事分两次做呢？</t>
  </si>
  <si>
    <t>Why should I do such a simple thing twice?</t>
  </si>
  <si>
    <t>何苦</t>
  </si>
  <si>
    <t>我对谁都没有讲，何苦事先就让他们伤心呢？</t>
  </si>
  <si>
    <t>I didn't tell anyone. Why should I make them sad in advance?</t>
  </si>
  <si>
    <t>7-9.130</t>
  </si>
  <si>
    <t>（不过／但／可是）话又说回来，……</t>
  </si>
  <si>
    <t>话又说回来</t>
  </si>
  <si>
    <t>话又说回来，不能因为生病就失去希望。</t>
  </si>
  <si>
    <t>Then again, you can't lose hope just because you're sick.</t>
  </si>
  <si>
    <t>但话又说回来，我们为什么不能把事情处理得对我们更有利呢？</t>
  </si>
  <si>
    <t>But then again, why can't we make things better for us?</t>
  </si>
  <si>
    <t>7-9.131</t>
  </si>
  <si>
    <t>X（也）不是，不X也不是</t>
  </si>
  <si>
    <t>*也不是*也不是</t>
  </si>
  <si>
    <t>走不是，不走也不是，弄得我们不知道怎么办才好。</t>
  </si>
  <si>
    <t>It's not going, it's not going, we don't know what to do.</t>
  </si>
  <si>
    <t>*也不行*也不行</t>
  </si>
  <si>
    <t>笑也不是，不笑也不是，真让人尴尬。</t>
  </si>
  <si>
    <t>It's embarrassing to laugh or not.</t>
  </si>
  <si>
    <t>7-9.132</t>
  </si>
  <si>
    <t>X也好／也罢， Y也好／也罢</t>
  </si>
  <si>
    <t>*也好*也好</t>
  </si>
  <si>
    <t>去也好，不去也好，反正不是什么大不了的事。</t>
  </si>
  <si>
    <t>It's no big deal whether you go or not.</t>
  </si>
  <si>
    <t>快乐也好，伤心也好，这个故事就要结束了。</t>
  </si>
  <si>
    <t>Happy or sad, the story is coming to an end.</t>
  </si>
  <si>
    <t>*也好*也罢</t>
  </si>
  <si>
    <t>你也罢，我也罢，都帮不了什么忙。</t>
  </si>
  <si>
    <t>Neither you nor I can help.</t>
  </si>
  <si>
    <t>*也罢*也罢</t>
  </si>
  <si>
    <t>喜欢也罢，愤怒也罢，终究都是一种情绪。</t>
  </si>
  <si>
    <t>Like or angry, after all, is a kind of emotion.</t>
  </si>
  <si>
    <t>7-9.133</t>
  </si>
  <si>
    <t>X了又Y，Y了又X</t>
  </si>
  <si>
    <t>了又*了又</t>
  </si>
  <si>
    <t>他装了又拆，拆了又装，修理了一整天。</t>
  </si>
  <si>
    <t>He installed and disassembled, disassembled and installed, and repaired all day.</t>
  </si>
  <si>
    <t>小朋友写了又擦，擦了又写，正在认真地练习写汉字。</t>
  </si>
  <si>
    <t>Children write and erase, erase and write, are seriously practicing writing Chinese characters.</t>
  </si>
  <si>
    <t>7-9.134</t>
  </si>
  <si>
    <t>X也X不……，Y也Y不……</t>
  </si>
  <si>
    <t>也*不*也*不</t>
  </si>
  <si>
    <t>妈妈还处于担心的状态中，吃也吃不下，睡也睡不着。</t>
  </si>
  <si>
    <t>Mother is still in a state of worry, can't eat, can't sleep.</t>
  </si>
  <si>
    <t>父母与孩子的关系就是这样，赶也赶不走，留也留不住。</t>
  </si>
  <si>
    <t>This is the relationship between parents and children. They can't get rid of it or stay.</t>
  </si>
  <si>
    <t>7-9.135</t>
  </si>
  <si>
    <t>别提（有）多X了</t>
  </si>
  <si>
    <t>别提有多*了</t>
  </si>
  <si>
    <t>刚才买的那件衣服，别提多好看了。</t>
  </si>
  <si>
    <t>The dress I bought just now is very beautiful.</t>
  </si>
  <si>
    <t>别提多*了</t>
  </si>
  <si>
    <t>听到爸爸的声音，她别提有多兴奋了。</t>
  </si>
  <si>
    <t>She was excited to hear her father's voice.</t>
  </si>
  <si>
    <t>7-9.136</t>
  </si>
  <si>
    <t>不知X的</t>
  </si>
  <si>
    <t>不知*的</t>
  </si>
  <si>
    <t>不知怎么的，我的眼泪止不住地往下流。</t>
  </si>
  <si>
    <t>Somehow, my tears couldn't stop flowing down.</t>
  </si>
  <si>
    <t>不知谁说的，他才是凶手。</t>
  </si>
  <si>
    <t>I don't know who said that. He's the killer.</t>
  </si>
  <si>
    <t>7-9.137</t>
  </si>
  <si>
    <t>话（说）是这么说， 不过／可／可是……</t>
  </si>
  <si>
    <t>话是这么说</t>
  </si>
  <si>
    <t>话是这么说，不过她还是不习惯。</t>
  </si>
  <si>
    <t>That's right, but she's not used to it.</t>
  </si>
  <si>
    <t>说是这么说，可对方要是真这么干，那我们也做不了什么。</t>
  </si>
  <si>
    <t>That's what they say, but if they do, we can't do anything.</t>
  </si>
  <si>
    <t>7-9.138</t>
  </si>
  <si>
    <t>看／瞧你那（X）样</t>
  </si>
  <si>
    <t>瞧你那*样</t>
  </si>
  <si>
    <t>看你那伤心样，还以为你这回真的好不到哪里去了。</t>
  </si>
  <si>
    <t>You look so sad. I think you are really not so good this time.</t>
  </si>
  <si>
    <t>看你那*样</t>
  </si>
  <si>
    <t>瞧你那样，还挺得意。</t>
  </si>
  <si>
    <t>You're proud of that.</t>
  </si>
  <si>
    <t>7-9.139</t>
  </si>
  <si>
    <t>看在X的面子上</t>
  </si>
  <si>
    <t>看在*的面子上</t>
  </si>
  <si>
    <t>我是看在她的面子上才答应的。</t>
  </si>
  <si>
    <t>I agreed just because of her face.</t>
  </si>
  <si>
    <t>看在*的份</t>
  </si>
  <si>
    <t>三位客人看在老人的面子上又坐下了。</t>
  </si>
  <si>
    <t>The three guests sat down again in the face of the old man.</t>
  </si>
  <si>
    <t>7-9.140</t>
  </si>
  <si>
    <t>哪有X这么Y的／有X这样Y的吗</t>
  </si>
  <si>
    <t>哪有_这么*的</t>
  </si>
  <si>
    <t>哪有你这么过分的？ 好处全让你给占了。</t>
  </si>
  <si>
    <t>How can you go so far? You've got all the benefits.</t>
  </si>
  <si>
    <t>有这样*的吗</t>
  </si>
  <si>
    <t>哪有你这么直接的？ 给他留点儿面子呀。</t>
  </si>
  <si>
    <t>How can you be so direct? Save him some face.</t>
  </si>
  <si>
    <t>有_这么*的吗</t>
  </si>
  <si>
    <t>有他这样做人的吗？ 总是在背后说人家坏话。</t>
  </si>
  <si>
    <t>Is there a man like him? Always speak ill of others behind their backs.</t>
  </si>
  <si>
    <t>7-9.141</t>
  </si>
  <si>
    <t>什么X的Y的</t>
  </si>
  <si>
    <t>什么_的_的</t>
  </si>
  <si>
    <t>什么你的我的，都是大家的。</t>
  </si>
  <si>
    <t>What's yours and mine? It's everybody's.</t>
  </si>
  <si>
    <t>什么好的坏的，我们买的都是一样的。</t>
  </si>
  <si>
    <t>What's good and what's bad, we buy the same.</t>
  </si>
  <si>
    <t>7-9.142</t>
  </si>
  <si>
    <t>说到／想到哪儿去了</t>
  </si>
  <si>
    <t>说到哪儿去了</t>
  </si>
  <si>
    <t>你看你，说到哪儿去了，我说的是买蛋糕的问题。</t>
  </si>
  <si>
    <t>You see, where are you? I'm talking about buying cakes.</t>
  </si>
  <si>
    <t>想到哪儿去了</t>
  </si>
  <si>
    <t>你想到哪儿去了！ 我肯定不会跟别人说的。</t>
  </si>
  <si>
    <t>Where do you want to go! I won't tell anyone.</t>
  </si>
  <si>
    <t>7-9.143</t>
  </si>
  <si>
    <t>无所谓X不X</t>
  </si>
  <si>
    <t>无所谓_不_</t>
  </si>
  <si>
    <t>无所谓好看不好看，我满意就行。</t>
  </si>
  <si>
    <t>It doesn't matter whether it looks good or not. I'm satisfied with it.</t>
  </si>
  <si>
    <t>无所谓贵不贵，质量好就可以。</t>
  </si>
  <si>
    <t>It doesn't matter whether it's expensive or not, just good quality.</t>
  </si>
  <si>
    <t>7-9.144</t>
  </si>
  <si>
    <t>要X有／没X , 要Y有／没Y</t>
  </si>
  <si>
    <t>要钱有钱</t>
  </si>
  <si>
    <t>她要成绩有成绩，要形象有形象。</t>
  </si>
  <si>
    <t>She wants achievements and image.</t>
  </si>
  <si>
    <t>要钱没钱</t>
  </si>
  <si>
    <t>他要学历没学历，要胆子没胆子。</t>
  </si>
  <si>
    <t>If he wants a degree, he needs courage.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</si>
</sst>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d mmmm d"/>
    <numFmt numFmtId="165" formatCode="h:mm am/pm"/>
    <numFmt numFmtId="166" formatCode="m/d"/>
  </numFmts>
  <fonts count="5">
    <font>
      <sz val="10.0"/>
      <color rgb="FF000000"/>
      <name val="Arial"/>
      <scheme val="minor"/>
    </font>
    <font>
      <color theme="1"/>
      <name val="Arial"/>
      <scheme val="minor"/>
    </font>
    <font>
      <sz val="9.0"/>
      <color rgb="FF000000"/>
      <name val="&quot;Google Sans Mono&quot;"/>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9DAF8"/>
        <bgColor rgb="FFC9DAF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horizontal="left" shrinkToFit="0" wrapText="1"/>
    </xf>
    <xf borderId="0" fillId="0" fontId="3" numFmtId="0" xfId="0" applyAlignment="1" applyFont="1">
      <alignment readingOrder="0"/>
    </xf>
    <xf borderId="0" fillId="0" fontId="1" numFmtId="164" xfId="0" applyAlignment="1" applyFont="1" applyNumberFormat="1">
      <alignment readingOrder="0" shrinkToFit="0" wrapText="1"/>
    </xf>
    <xf borderId="0" fillId="0" fontId="1" numFmtId="20" xfId="0" applyAlignment="1" applyFont="1" applyNumberFormat="1">
      <alignment readingOrder="0" shrinkToFit="0" wrapText="1"/>
    </xf>
    <xf borderId="0" fillId="0" fontId="1" numFmtId="165" xfId="0" applyAlignment="1" applyFont="1" applyNumberFormat="1">
      <alignment readingOrder="0" shrinkToFit="0" wrapText="1"/>
    </xf>
    <xf borderId="0" fillId="3" fontId="1" numFmtId="0" xfId="0" applyAlignment="1" applyFill="1" applyFont="1">
      <alignment readingOrder="0"/>
    </xf>
    <xf borderId="0" fillId="3" fontId="1" numFmtId="0" xfId="0" applyFill="1" applyFont="1"/>
    <xf borderId="0" fillId="3" fontId="1" numFmtId="0" xfId="0" applyAlignment="1" applyFill="1" applyFont="1">
      <alignment readingOrder="0" shrinkToFit="0" wrapText="1"/>
    </xf>
    <xf borderId="0" fillId="3" fontId="4" numFmtId="0" xfId="0" applyAlignment="1" applyFill="1" applyFont="1">
      <alignment readingOrder="0"/>
    </xf>
    <xf borderId="0" fillId="3" fontId="2" numFmtId="0" xfId="0" applyAlignment="1" applyFill="1" applyFont="1">
      <alignment horizontal="left" shrinkToFit="0" wrapText="1"/>
    </xf>
    <xf borderId="0" fillId="0" fontId="1" numFmtId="166" xfId="0" applyAlignment="1" applyFont="1" applyNumberFormat="1">
      <alignment readingOrder="0" shrinkToFit="0" wrapText="1"/>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hinesezerotohero.teachable.com/courses/183827/lectures/2785178" TargetMode="External"/><Relationship Id="rId194" Type="http://schemas.openxmlformats.org/officeDocument/2006/relationships/hyperlink" Target="https://chinesezerotohero.teachable.com/courses/183827/lectures/2785178" TargetMode="External"/><Relationship Id="rId193" Type="http://schemas.openxmlformats.org/officeDocument/2006/relationships/hyperlink" Target="https://chinesezerotohero.teachable.com/courses/183827/lectures/2785178" TargetMode="External"/><Relationship Id="rId192" Type="http://schemas.openxmlformats.org/officeDocument/2006/relationships/hyperlink" Target="https://chinesezerotohero.teachable.com/courses/183827/lectures/2785178" TargetMode="External"/><Relationship Id="rId191" Type="http://schemas.openxmlformats.org/officeDocument/2006/relationships/hyperlink" Target="https://chinesezerotohero.teachable.com/courses/183827/lectures/2785178" TargetMode="External"/><Relationship Id="rId187" Type="http://schemas.openxmlformats.org/officeDocument/2006/relationships/hyperlink" Target="https://chinesezerotohero.teachable.com/courses/183827/lectures/2785331" TargetMode="External"/><Relationship Id="rId186" Type="http://schemas.openxmlformats.org/officeDocument/2006/relationships/hyperlink" Target="https://chinesezerotohero.teachable.com/courses/183827/lectures/2785327" TargetMode="External"/><Relationship Id="rId185" Type="http://schemas.openxmlformats.org/officeDocument/2006/relationships/hyperlink" Target="https://chinesezerotohero.teachable.com/courses/183827/lectures/2785201" TargetMode="External"/><Relationship Id="rId184" Type="http://schemas.openxmlformats.org/officeDocument/2006/relationships/hyperlink" Target="https://chinesezerotohero.teachable.com/courses/183827/lectures/2785200" TargetMode="External"/><Relationship Id="rId189" Type="http://schemas.openxmlformats.org/officeDocument/2006/relationships/hyperlink" Target="https://chinesezerotohero.teachable.com/courses/183827/lectures/2785173" TargetMode="External"/><Relationship Id="rId188" Type="http://schemas.openxmlformats.org/officeDocument/2006/relationships/hyperlink" Target="https://chinesezerotohero.teachable.com/courses/183827/lectures/2785169" TargetMode="External"/><Relationship Id="rId183" Type="http://schemas.openxmlformats.org/officeDocument/2006/relationships/hyperlink" Target="https://chinesezerotohero.teachable.com/courses/183827/lectures/2785196" TargetMode="External"/><Relationship Id="rId182" Type="http://schemas.openxmlformats.org/officeDocument/2006/relationships/hyperlink" Target="https://chinesezerotohero.teachable.com/courses/183827/lectures/2785164" TargetMode="External"/><Relationship Id="rId181" Type="http://schemas.openxmlformats.org/officeDocument/2006/relationships/hyperlink" Target="https://chinesezerotohero.teachable.com/courses/183827/lectures/2785163" TargetMode="External"/><Relationship Id="rId180" Type="http://schemas.openxmlformats.org/officeDocument/2006/relationships/hyperlink" Target="https://chinesezerotohero.teachable.com/courses/183827/lectures/2785159" TargetMode="External"/><Relationship Id="rId176" Type="http://schemas.openxmlformats.org/officeDocument/2006/relationships/hyperlink" Target="https://chinesezerotohero.teachable.com/courses/183827/lectures/2785206" TargetMode="External"/><Relationship Id="rId297" Type="http://schemas.openxmlformats.org/officeDocument/2006/relationships/hyperlink" Target="https://chinesezerotohero.teachable.com/courses/299571/lectures/4606457" TargetMode="External"/><Relationship Id="rId175" Type="http://schemas.openxmlformats.org/officeDocument/2006/relationships/hyperlink" Target="https://chinesezerotohero.teachable.com/courses/183827/lectures/2785257" TargetMode="External"/><Relationship Id="rId296" Type="http://schemas.openxmlformats.org/officeDocument/2006/relationships/hyperlink" Target="https://chinesezerotohero.teachable.com/courses/299571/lectures/4606457" TargetMode="External"/><Relationship Id="rId174" Type="http://schemas.openxmlformats.org/officeDocument/2006/relationships/hyperlink" Target="https://chinesezerotohero.teachable.com/courses/183827/lectures/2785253" TargetMode="External"/><Relationship Id="rId295" Type="http://schemas.openxmlformats.org/officeDocument/2006/relationships/hyperlink" Target="https://chinesezerotohero.teachable.com/courses/299571/lectures/4606464" TargetMode="External"/><Relationship Id="rId173" Type="http://schemas.openxmlformats.org/officeDocument/2006/relationships/hyperlink" Target="https://chinesezerotohero.teachable.com/courses/183827/lectures/2785153" TargetMode="External"/><Relationship Id="rId294" Type="http://schemas.openxmlformats.org/officeDocument/2006/relationships/hyperlink" Target="https://chinesezerotohero.teachable.com/courses/299571/lectures/4606454" TargetMode="External"/><Relationship Id="rId179" Type="http://schemas.openxmlformats.org/officeDocument/2006/relationships/hyperlink" Target="https://chinesezerotohero.teachable.com/courses/183827/lectures/2785159" TargetMode="External"/><Relationship Id="rId178" Type="http://schemas.openxmlformats.org/officeDocument/2006/relationships/hyperlink" Target="https://chinesezerotohero.teachable.com/courses/183827/lectures/2785210" TargetMode="External"/><Relationship Id="rId299" Type="http://schemas.openxmlformats.org/officeDocument/2006/relationships/hyperlink" Target="https://chinesezerotohero.teachable.com/courses/299571/lectures/4606456" TargetMode="External"/><Relationship Id="rId177" Type="http://schemas.openxmlformats.org/officeDocument/2006/relationships/hyperlink" Target="https://chinesezerotohero.teachable.com/courses/183827/lectures/2785206" TargetMode="External"/><Relationship Id="rId298" Type="http://schemas.openxmlformats.org/officeDocument/2006/relationships/hyperlink" Target="https://chinesezerotohero.teachable.com/courses/299571/lectures/4606455" TargetMode="External"/><Relationship Id="rId198" Type="http://schemas.openxmlformats.org/officeDocument/2006/relationships/hyperlink" Target="https://chinesezerotohero.teachable.com/courses/183827/lectures/2785191" TargetMode="External"/><Relationship Id="rId197" Type="http://schemas.openxmlformats.org/officeDocument/2006/relationships/hyperlink" Target="https://chinesezerotohero.teachable.com/courses/183827/lectures/2785187" TargetMode="External"/><Relationship Id="rId196" Type="http://schemas.openxmlformats.org/officeDocument/2006/relationships/hyperlink" Target="https://chinesezerotohero.teachable.com/courses/183827/lectures/2785187" TargetMode="External"/><Relationship Id="rId195" Type="http://schemas.openxmlformats.org/officeDocument/2006/relationships/hyperlink" Target="https://chinesezerotohero.teachable.com/courses/183827/lectures/2785182" TargetMode="External"/><Relationship Id="rId199" Type="http://schemas.openxmlformats.org/officeDocument/2006/relationships/hyperlink" Target="https://chinesezerotohero.teachable.com/courses/281078/lectures/4332370" TargetMode="External"/><Relationship Id="rId150" Type="http://schemas.openxmlformats.org/officeDocument/2006/relationships/hyperlink" Target="https://chinesezerotohero.teachable.com/courses/182498/lectures/2764093" TargetMode="External"/><Relationship Id="rId271" Type="http://schemas.openxmlformats.org/officeDocument/2006/relationships/hyperlink" Target="https://chinesezerotohero.teachable.com/courses/292789/lectures/4505650" TargetMode="External"/><Relationship Id="rId392" Type="http://schemas.openxmlformats.org/officeDocument/2006/relationships/hyperlink" Target="https://chinesezerotohero.teachable.com/courses/302461/lectures/5044308" TargetMode="External"/><Relationship Id="rId270" Type="http://schemas.openxmlformats.org/officeDocument/2006/relationships/hyperlink" Target="https://chinesezerotohero.teachable.com/courses/292789/lectures/4505650" TargetMode="External"/><Relationship Id="rId391" Type="http://schemas.openxmlformats.org/officeDocument/2006/relationships/hyperlink" Target="https://chinesezerotohero.teachable.com/courses/302461/lectures/5044309" TargetMode="External"/><Relationship Id="rId390" Type="http://schemas.openxmlformats.org/officeDocument/2006/relationships/hyperlink" Target="https://chinesezerotohero.teachable.com/courses/302461/lectures/5044307" TargetMode="External"/><Relationship Id="rId1" Type="http://schemas.openxmlformats.org/officeDocument/2006/relationships/hyperlink" Target="https://chinesezerotohero.teachable.com/courses/185499/lectures/2839923" TargetMode="External"/><Relationship Id="rId2" Type="http://schemas.openxmlformats.org/officeDocument/2006/relationships/hyperlink" Target="https://chinesezerotohero.teachable.com/courses/185499/lectures/2839924" TargetMode="External"/><Relationship Id="rId3" Type="http://schemas.openxmlformats.org/officeDocument/2006/relationships/hyperlink" Target="https://chinesezerotohero.teachable.com/courses/185499/lectures/2839924" TargetMode="External"/><Relationship Id="rId149" Type="http://schemas.openxmlformats.org/officeDocument/2006/relationships/hyperlink" Target="https://chinesezerotohero.teachable.com/courses/182498/lectures/2764093" TargetMode="External"/><Relationship Id="rId4" Type="http://schemas.openxmlformats.org/officeDocument/2006/relationships/hyperlink" Target="https://chinesezerotohero.teachable.com/courses/185499/lectures/2839924" TargetMode="External"/><Relationship Id="rId148" Type="http://schemas.openxmlformats.org/officeDocument/2006/relationships/hyperlink" Target="https://chinesezerotohero.teachable.com/courses/182498/lectures/2764078" TargetMode="External"/><Relationship Id="rId269" Type="http://schemas.openxmlformats.org/officeDocument/2006/relationships/hyperlink" Target="https://chinesezerotohero.teachable.com/courses/292789/lectures/4505649" TargetMode="External"/><Relationship Id="rId9" Type="http://schemas.openxmlformats.org/officeDocument/2006/relationships/hyperlink" Target="https://chinesezerotohero.teachable.com/courses/185499/lectures/2843821" TargetMode="External"/><Relationship Id="rId143" Type="http://schemas.openxmlformats.org/officeDocument/2006/relationships/hyperlink" Target="https://chinesezerotohero.teachable.com/courses/182498/lectures/2764075" TargetMode="External"/><Relationship Id="rId264" Type="http://schemas.openxmlformats.org/officeDocument/2006/relationships/hyperlink" Target="https://chinesezerotohero.teachable.com/courses/292789/lectures/4505626" TargetMode="External"/><Relationship Id="rId385" Type="http://schemas.openxmlformats.org/officeDocument/2006/relationships/hyperlink" Target="https://chinesezerotohero.teachable.com/courses/302461/lectures/4991677" TargetMode="External"/><Relationship Id="rId142" Type="http://schemas.openxmlformats.org/officeDocument/2006/relationships/hyperlink" Target="https://chinesezerotohero.teachable.com/courses/182498/lectures/2764075" TargetMode="External"/><Relationship Id="rId263" Type="http://schemas.openxmlformats.org/officeDocument/2006/relationships/hyperlink" Target="https://chinesezerotohero.teachable.com/courses/292789/lectures/4505625" TargetMode="External"/><Relationship Id="rId384" Type="http://schemas.openxmlformats.org/officeDocument/2006/relationships/hyperlink" Target="https://chinesezerotohero.teachable.com/courses/302461/lectures/4991677" TargetMode="External"/><Relationship Id="rId141" Type="http://schemas.openxmlformats.org/officeDocument/2006/relationships/hyperlink" Target="https://chinesezerotohero.teachable.com/courses/182498/lectures/2764067" TargetMode="External"/><Relationship Id="rId262" Type="http://schemas.openxmlformats.org/officeDocument/2006/relationships/hyperlink" Target="https://chinesezerotohero.teachable.com/courses/292789/lectures/4505574" TargetMode="External"/><Relationship Id="rId383" Type="http://schemas.openxmlformats.org/officeDocument/2006/relationships/hyperlink" Target="https://chinesezerotohero.teachable.com/courses/302461/lectures/4991678" TargetMode="External"/><Relationship Id="rId140" Type="http://schemas.openxmlformats.org/officeDocument/2006/relationships/hyperlink" Target="https://chinesezerotohero.teachable.com/courses/182498/lectures/2764062" TargetMode="External"/><Relationship Id="rId261" Type="http://schemas.openxmlformats.org/officeDocument/2006/relationships/hyperlink" Target="https://chinesezerotohero.teachable.com/courses/292789/lectures/4505573" TargetMode="External"/><Relationship Id="rId382" Type="http://schemas.openxmlformats.org/officeDocument/2006/relationships/hyperlink" Target="https://chinesezerotohero.teachable.com/courses/302461/lectures/4991676" TargetMode="External"/><Relationship Id="rId5" Type="http://schemas.openxmlformats.org/officeDocument/2006/relationships/hyperlink" Target="https://chinesezerotohero.teachable.com/courses/185499/lectures/2839920" TargetMode="External"/><Relationship Id="rId147" Type="http://schemas.openxmlformats.org/officeDocument/2006/relationships/hyperlink" Target="https://chinesezerotohero.teachable.com/courses/182498/lectures/2764078" TargetMode="External"/><Relationship Id="rId268" Type="http://schemas.openxmlformats.org/officeDocument/2006/relationships/hyperlink" Target="https://chinesezerotohero.teachable.com/courses/292789/lectures/4505629" TargetMode="External"/><Relationship Id="rId389" Type="http://schemas.openxmlformats.org/officeDocument/2006/relationships/hyperlink" Target="https://chinesezerotohero.teachable.com/courses/302461/lectures/5044307" TargetMode="External"/><Relationship Id="rId6" Type="http://schemas.openxmlformats.org/officeDocument/2006/relationships/hyperlink" Target="https://chinesezerotohero.teachable.com/courses/185499/lectures/2843816" TargetMode="External"/><Relationship Id="rId146" Type="http://schemas.openxmlformats.org/officeDocument/2006/relationships/hyperlink" Target="https://chinesezerotohero.teachable.com/courses/182498/lectures/2764079" TargetMode="External"/><Relationship Id="rId267" Type="http://schemas.openxmlformats.org/officeDocument/2006/relationships/hyperlink" Target="https://chinesezerotohero.teachable.com/courses/292789/lectures/4505629" TargetMode="External"/><Relationship Id="rId388" Type="http://schemas.openxmlformats.org/officeDocument/2006/relationships/hyperlink" Target="https://chinesezerotohero.teachable.com/courses/302461/lectures/5044307" TargetMode="External"/><Relationship Id="rId7" Type="http://schemas.openxmlformats.org/officeDocument/2006/relationships/hyperlink" Target="https://chinesezerotohero.teachable.com/courses/185499/lectures/2843816" TargetMode="External"/><Relationship Id="rId145" Type="http://schemas.openxmlformats.org/officeDocument/2006/relationships/hyperlink" Target="https://chinesezerotohero.teachable.com/courses/182498/lectures/2764075" TargetMode="External"/><Relationship Id="rId266" Type="http://schemas.openxmlformats.org/officeDocument/2006/relationships/hyperlink" Target="https://chinesezerotohero.teachable.com/courses/292789/lectures/4505627" TargetMode="External"/><Relationship Id="rId387" Type="http://schemas.openxmlformats.org/officeDocument/2006/relationships/hyperlink" Target="https://chinesezerotohero.teachable.com/courses/302461/lectures/5044307" TargetMode="External"/><Relationship Id="rId8" Type="http://schemas.openxmlformats.org/officeDocument/2006/relationships/hyperlink" Target="https://chinesezerotohero.teachable.com/courses/185499/lectures/2843817" TargetMode="External"/><Relationship Id="rId144" Type="http://schemas.openxmlformats.org/officeDocument/2006/relationships/hyperlink" Target="https://chinesezerotohero.teachable.com/courses/182498/lectures/2764075" TargetMode="External"/><Relationship Id="rId265" Type="http://schemas.openxmlformats.org/officeDocument/2006/relationships/hyperlink" Target="https://chinesezerotohero.teachable.com/courses/292789/lectures/4505628" TargetMode="External"/><Relationship Id="rId386" Type="http://schemas.openxmlformats.org/officeDocument/2006/relationships/hyperlink" Target="https://chinesezerotohero.teachable.com/courses/302461/lectures/5044306" TargetMode="External"/><Relationship Id="rId260" Type="http://schemas.openxmlformats.org/officeDocument/2006/relationships/hyperlink" Target="https://chinesezerotohero.teachable.com/courses/292789/lectures/4505572" TargetMode="External"/><Relationship Id="rId381" Type="http://schemas.openxmlformats.org/officeDocument/2006/relationships/hyperlink" Target="https://chinesezerotohero.teachable.com/courses/302461/lectures/4991675" TargetMode="External"/><Relationship Id="rId380" Type="http://schemas.openxmlformats.org/officeDocument/2006/relationships/hyperlink" Target="https://chinesezerotohero.teachable.com/courses/302461/lectures/4991674" TargetMode="External"/><Relationship Id="rId139" Type="http://schemas.openxmlformats.org/officeDocument/2006/relationships/hyperlink" Target="https://chinesezerotohero.teachable.com/courses/182498/lectures/2764062" TargetMode="External"/><Relationship Id="rId138" Type="http://schemas.openxmlformats.org/officeDocument/2006/relationships/hyperlink" Target="https://chinesezerotohero.teachable.com/courses/182498/lectures/2764058" TargetMode="External"/><Relationship Id="rId259" Type="http://schemas.openxmlformats.org/officeDocument/2006/relationships/hyperlink" Target="https://chinesezerotohero.teachable.com/courses/292789/lectures/4505572" TargetMode="External"/><Relationship Id="rId137" Type="http://schemas.openxmlformats.org/officeDocument/2006/relationships/hyperlink" Target="https://chinesezerotohero.teachable.com/courses/182498/lectures/2764056" TargetMode="External"/><Relationship Id="rId258" Type="http://schemas.openxmlformats.org/officeDocument/2006/relationships/hyperlink" Target="https://chinesezerotohero.teachable.com/courses/292789/lectures/4505571" TargetMode="External"/><Relationship Id="rId379" Type="http://schemas.openxmlformats.org/officeDocument/2006/relationships/hyperlink" Target="https://chinesezerotohero.teachable.com/courses/302461/lectures/4991673" TargetMode="External"/><Relationship Id="rId132" Type="http://schemas.openxmlformats.org/officeDocument/2006/relationships/hyperlink" Target="https://chinesezerotohero.teachable.com/courses/182498/lectures/2764004" TargetMode="External"/><Relationship Id="rId253" Type="http://schemas.openxmlformats.org/officeDocument/2006/relationships/hyperlink" Target="https://chinesezerotohero.teachable.com/courses/292789/lectures/4505536" TargetMode="External"/><Relationship Id="rId374" Type="http://schemas.openxmlformats.org/officeDocument/2006/relationships/hyperlink" Target="https://chinesezerotohero.teachable.com/courses/302461/lectures/4921891" TargetMode="External"/><Relationship Id="rId495" Type="http://schemas.openxmlformats.org/officeDocument/2006/relationships/hyperlink" Target="https://chinesezerotohero.teachable.com/courses/302483/lectures/5607689" TargetMode="External"/><Relationship Id="rId131" Type="http://schemas.openxmlformats.org/officeDocument/2006/relationships/hyperlink" Target="https://chinesezerotohero.teachable.com/courses/182498/lectures/2764004" TargetMode="External"/><Relationship Id="rId252" Type="http://schemas.openxmlformats.org/officeDocument/2006/relationships/hyperlink" Target="https://chinesezerotohero.teachable.com/courses/292789/lectures/4505535" TargetMode="External"/><Relationship Id="rId373" Type="http://schemas.openxmlformats.org/officeDocument/2006/relationships/hyperlink" Target="https://chinesezerotohero.teachable.com/courses/302461/lectures/4921891" TargetMode="External"/><Relationship Id="rId494" Type="http://schemas.openxmlformats.org/officeDocument/2006/relationships/hyperlink" Target="https://chinesezerotohero.teachable.com/courses/302483/lectures/5607687" TargetMode="External"/><Relationship Id="rId130" Type="http://schemas.openxmlformats.org/officeDocument/2006/relationships/hyperlink" Target="https://chinesezerotohero.teachable.com/courses/182498/lectures/2763994" TargetMode="External"/><Relationship Id="rId251" Type="http://schemas.openxmlformats.org/officeDocument/2006/relationships/hyperlink" Target="https://chinesezerotohero.teachable.com/courses/292789/lectures/4505535" TargetMode="External"/><Relationship Id="rId372" Type="http://schemas.openxmlformats.org/officeDocument/2006/relationships/hyperlink" Target="https://chinesezerotohero.teachable.com/courses/302461/lectures/4914007" TargetMode="External"/><Relationship Id="rId493" Type="http://schemas.openxmlformats.org/officeDocument/2006/relationships/hyperlink" Target="https://chinesezerotohero.teachable.com/courses/302483/lectures/5607687" TargetMode="External"/><Relationship Id="rId250" Type="http://schemas.openxmlformats.org/officeDocument/2006/relationships/hyperlink" Target="https://chinesezerotohero.teachable.com/courses/292789/lectures/4505535" TargetMode="External"/><Relationship Id="rId371" Type="http://schemas.openxmlformats.org/officeDocument/2006/relationships/hyperlink" Target="https://chinesezerotohero.teachable.com/courses/302461/lectures/4914007" TargetMode="External"/><Relationship Id="rId492" Type="http://schemas.openxmlformats.org/officeDocument/2006/relationships/hyperlink" Target="https://chinesezerotohero.teachable.com/courses/302483/lectures/5517733" TargetMode="External"/><Relationship Id="rId136" Type="http://schemas.openxmlformats.org/officeDocument/2006/relationships/hyperlink" Target="https://chinesezerotohero.teachable.com/courses/182498/lectures/2764008" TargetMode="External"/><Relationship Id="rId257" Type="http://schemas.openxmlformats.org/officeDocument/2006/relationships/hyperlink" Target="https://chinesezerotohero.teachable.com/courses/292789/lectures/4505570" TargetMode="External"/><Relationship Id="rId378" Type="http://schemas.openxmlformats.org/officeDocument/2006/relationships/hyperlink" Target="https://chinesezerotohero.teachable.com/courses/302461/lectures/4991673" TargetMode="External"/><Relationship Id="rId499" Type="http://schemas.openxmlformats.org/officeDocument/2006/relationships/hyperlink" Target="https://chinesezerotohero.teachable.com/courses/302483/lectures/5607688" TargetMode="External"/><Relationship Id="rId135" Type="http://schemas.openxmlformats.org/officeDocument/2006/relationships/hyperlink" Target="https://chinesezerotohero.teachable.com/courses/182498/lectures/2764006" TargetMode="External"/><Relationship Id="rId256" Type="http://schemas.openxmlformats.org/officeDocument/2006/relationships/hyperlink" Target="https://chinesezerotohero.teachable.com/courses/292789/lectures/4505570" TargetMode="External"/><Relationship Id="rId377" Type="http://schemas.openxmlformats.org/officeDocument/2006/relationships/hyperlink" Target="https://chinesezerotohero.teachable.com/courses/302461/lectures/4991672" TargetMode="External"/><Relationship Id="rId498" Type="http://schemas.openxmlformats.org/officeDocument/2006/relationships/hyperlink" Target="https://chinesezerotohero.teachable.com/courses/302483/lectures/5607690" TargetMode="External"/><Relationship Id="rId134" Type="http://schemas.openxmlformats.org/officeDocument/2006/relationships/hyperlink" Target="https://chinesezerotohero.teachable.com/courses/182498/lectures/2764006" TargetMode="External"/><Relationship Id="rId255" Type="http://schemas.openxmlformats.org/officeDocument/2006/relationships/hyperlink" Target="https://chinesezerotohero.teachable.com/courses/292789/lectures/4505570" TargetMode="External"/><Relationship Id="rId376" Type="http://schemas.openxmlformats.org/officeDocument/2006/relationships/hyperlink" Target="https://chinesezerotohero.teachable.com/courses/302461/lectures/4921893" TargetMode="External"/><Relationship Id="rId497" Type="http://schemas.openxmlformats.org/officeDocument/2006/relationships/hyperlink" Target="https://chinesezerotohero.teachable.com/courses/302483/lectures/5607689" TargetMode="External"/><Relationship Id="rId133" Type="http://schemas.openxmlformats.org/officeDocument/2006/relationships/hyperlink" Target="https://chinesezerotohero.teachable.com/courses/182498/lectures/2764004" TargetMode="External"/><Relationship Id="rId254" Type="http://schemas.openxmlformats.org/officeDocument/2006/relationships/hyperlink" Target="https://chinesezerotohero.teachable.com/courses/292789/lectures/4505538" TargetMode="External"/><Relationship Id="rId375" Type="http://schemas.openxmlformats.org/officeDocument/2006/relationships/hyperlink" Target="https://chinesezerotohero.teachable.com/courses/302461/lectures/4921891" TargetMode="External"/><Relationship Id="rId496" Type="http://schemas.openxmlformats.org/officeDocument/2006/relationships/hyperlink" Target="https://chinesezerotohero.teachable.com/courses/302483/lectures/5607689" TargetMode="External"/><Relationship Id="rId172" Type="http://schemas.openxmlformats.org/officeDocument/2006/relationships/hyperlink" Target="https://chinesezerotohero.teachable.com/courses/183827/lectures/2785150" TargetMode="External"/><Relationship Id="rId293" Type="http://schemas.openxmlformats.org/officeDocument/2006/relationships/hyperlink" Target="https://chinesezerotohero.teachable.com/courses/299571/lectures/4606435" TargetMode="External"/><Relationship Id="rId171" Type="http://schemas.openxmlformats.org/officeDocument/2006/relationships/hyperlink" Target="https://chinesezerotohero.teachable.com/courses/183827/lectures/2785150" TargetMode="External"/><Relationship Id="rId292" Type="http://schemas.openxmlformats.org/officeDocument/2006/relationships/hyperlink" Target="https://chinesezerotohero.teachable.com/courses/299571/lectures/4606435" TargetMode="External"/><Relationship Id="rId170" Type="http://schemas.openxmlformats.org/officeDocument/2006/relationships/hyperlink" Target="https://chinesezerotohero.teachable.com/courses/183827/lectures/2785322" TargetMode="External"/><Relationship Id="rId291" Type="http://schemas.openxmlformats.org/officeDocument/2006/relationships/hyperlink" Target="https://chinesezerotohero.teachable.com/courses/299571/lectures/4606433" TargetMode="External"/><Relationship Id="rId290" Type="http://schemas.openxmlformats.org/officeDocument/2006/relationships/hyperlink" Target="https://chinesezerotohero.teachable.com/courses/299571/lectures/4606434" TargetMode="External"/><Relationship Id="rId165" Type="http://schemas.openxmlformats.org/officeDocument/2006/relationships/hyperlink" Target="https://chinesezerotohero.teachable.com/courses/182498/lectures/2764118" TargetMode="External"/><Relationship Id="rId286" Type="http://schemas.openxmlformats.org/officeDocument/2006/relationships/hyperlink" Target="https://chinesezerotohero.teachable.com/courses/292789/lectures/4505672" TargetMode="External"/><Relationship Id="rId164" Type="http://schemas.openxmlformats.org/officeDocument/2006/relationships/hyperlink" Target="https://chinesezerotohero.teachable.com/courses/182498/lectures/2764118" TargetMode="External"/><Relationship Id="rId285" Type="http://schemas.openxmlformats.org/officeDocument/2006/relationships/hyperlink" Target="https://chinesezerotohero.teachable.com/courses/292789/lectures/4505673" TargetMode="External"/><Relationship Id="rId163" Type="http://schemas.openxmlformats.org/officeDocument/2006/relationships/hyperlink" Target="https://chinesezerotohero.teachable.com/courses/182498/lectures/2764113" TargetMode="External"/><Relationship Id="rId284" Type="http://schemas.openxmlformats.org/officeDocument/2006/relationships/hyperlink" Target="https://chinesezerotohero.teachable.com/courses/292789/lectures/4505673" TargetMode="External"/><Relationship Id="rId162" Type="http://schemas.openxmlformats.org/officeDocument/2006/relationships/hyperlink" Target="https://chinesezerotohero.teachable.com/courses/182498/lectures/2764113" TargetMode="External"/><Relationship Id="rId283" Type="http://schemas.openxmlformats.org/officeDocument/2006/relationships/hyperlink" Target="https://chinesezerotohero.teachable.com/courses/292789/lectures/4505671" TargetMode="External"/><Relationship Id="rId169" Type="http://schemas.openxmlformats.org/officeDocument/2006/relationships/hyperlink" Target="https://chinesezerotohero.teachable.com/courses/183827/lectures/2785318" TargetMode="External"/><Relationship Id="rId168" Type="http://schemas.openxmlformats.org/officeDocument/2006/relationships/hyperlink" Target="https://chinesezerotohero.teachable.com/courses/183827/lectures/2785318" TargetMode="External"/><Relationship Id="rId289" Type="http://schemas.openxmlformats.org/officeDocument/2006/relationships/hyperlink" Target="https://chinesezerotohero.teachable.com/courses/299571/lectures/4606436" TargetMode="External"/><Relationship Id="rId167" Type="http://schemas.openxmlformats.org/officeDocument/2006/relationships/hyperlink" Target="https://chinesezerotohero.teachable.com/courses/182498/lectures/2764122" TargetMode="External"/><Relationship Id="rId288" Type="http://schemas.openxmlformats.org/officeDocument/2006/relationships/hyperlink" Target="https://chinesezerotohero.teachable.com/courses/299571/lectures/4606432" TargetMode="External"/><Relationship Id="rId166" Type="http://schemas.openxmlformats.org/officeDocument/2006/relationships/hyperlink" Target="https://chinesezerotohero.teachable.com/courses/182498/lectures/2764118" TargetMode="External"/><Relationship Id="rId287" Type="http://schemas.openxmlformats.org/officeDocument/2006/relationships/hyperlink" Target="https://chinesezerotohero.teachable.com/courses/299571/lectures/4606432" TargetMode="External"/><Relationship Id="rId161" Type="http://schemas.openxmlformats.org/officeDocument/2006/relationships/hyperlink" Target="https://chinesezerotohero.teachable.com/courses/182498/lectures/2764111" TargetMode="External"/><Relationship Id="rId282" Type="http://schemas.openxmlformats.org/officeDocument/2006/relationships/hyperlink" Target="https://chinesezerotohero.teachable.com/courses/292789/lectures/4505683" TargetMode="External"/><Relationship Id="rId160" Type="http://schemas.openxmlformats.org/officeDocument/2006/relationships/hyperlink" Target="https://chinesezerotohero.teachable.com/courses/182498/lectures/2764104" TargetMode="External"/><Relationship Id="rId281" Type="http://schemas.openxmlformats.org/officeDocument/2006/relationships/hyperlink" Target="https://chinesezerotohero.teachable.com/courses/292789/lectures/4505670" TargetMode="External"/><Relationship Id="rId280" Type="http://schemas.openxmlformats.org/officeDocument/2006/relationships/hyperlink" Target="https://chinesezerotohero.teachable.com/courses/292789/lectures/4505670" TargetMode="External"/><Relationship Id="rId159" Type="http://schemas.openxmlformats.org/officeDocument/2006/relationships/hyperlink" Target="https://chinesezerotohero.teachable.com/courses/182498/lectures/2764104" TargetMode="External"/><Relationship Id="rId154" Type="http://schemas.openxmlformats.org/officeDocument/2006/relationships/hyperlink" Target="https://chinesezerotohero.teachable.com/courses/182498/lectures/2764096" TargetMode="External"/><Relationship Id="rId275" Type="http://schemas.openxmlformats.org/officeDocument/2006/relationships/hyperlink" Target="https://chinesezerotohero.teachable.com/courses/292789/lectures/4505650" TargetMode="External"/><Relationship Id="rId396" Type="http://schemas.openxmlformats.org/officeDocument/2006/relationships/hyperlink" Target="https://chinesezerotohero.teachable.com/courses/302461/lectures/5044264" TargetMode="External"/><Relationship Id="rId153" Type="http://schemas.openxmlformats.org/officeDocument/2006/relationships/hyperlink" Target="https://chinesezerotohero.teachable.com/courses/182498/lectures/2764096" TargetMode="External"/><Relationship Id="rId274" Type="http://schemas.openxmlformats.org/officeDocument/2006/relationships/hyperlink" Target="https://chinesezerotohero.teachable.com/courses/292789/lectures/4505650" TargetMode="External"/><Relationship Id="rId395" Type="http://schemas.openxmlformats.org/officeDocument/2006/relationships/hyperlink" Target="https://chinesezerotohero.teachable.com/courses/302461/lectures/5044264" TargetMode="External"/><Relationship Id="rId152" Type="http://schemas.openxmlformats.org/officeDocument/2006/relationships/hyperlink" Target="https://chinesezerotohero.teachable.com/courses/182498/lectures/2764090" TargetMode="External"/><Relationship Id="rId273" Type="http://schemas.openxmlformats.org/officeDocument/2006/relationships/hyperlink" Target="https://chinesezerotohero.teachable.com/courses/292789/lectures/4505650" TargetMode="External"/><Relationship Id="rId394" Type="http://schemas.openxmlformats.org/officeDocument/2006/relationships/hyperlink" Target="https://chinesezerotohero.teachable.com/courses/302461/lectures/5044264" TargetMode="External"/><Relationship Id="rId151" Type="http://schemas.openxmlformats.org/officeDocument/2006/relationships/hyperlink" Target="https://chinesezerotohero.teachable.com/courses/182498/lectures/2764090" TargetMode="External"/><Relationship Id="rId272" Type="http://schemas.openxmlformats.org/officeDocument/2006/relationships/hyperlink" Target="https://chinesezerotohero.teachable.com/courses/292789/lectures/4505650" TargetMode="External"/><Relationship Id="rId393" Type="http://schemas.openxmlformats.org/officeDocument/2006/relationships/hyperlink" Target="https://chinesezerotohero.teachable.com/courses/302461/lectures/5044263" TargetMode="External"/><Relationship Id="rId158" Type="http://schemas.openxmlformats.org/officeDocument/2006/relationships/hyperlink" Target="https://chinesezerotohero.teachable.com/courses/182498/lectures/2764099" TargetMode="External"/><Relationship Id="rId279" Type="http://schemas.openxmlformats.org/officeDocument/2006/relationships/hyperlink" Target="https://chinesezerotohero.teachable.com/courses/292789/lectures/4505656" TargetMode="External"/><Relationship Id="rId157" Type="http://schemas.openxmlformats.org/officeDocument/2006/relationships/hyperlink" Target="https://chinesezerotohero.teachable.com/courses/182498/lectures/2764099" TargetMode="External"/><Relationship Id="rId278" Type="http://schemas.openxmlformats.org/officeDocument/2006/relationships/hyperlink" Target="https://chinesezerotohero.teachable.com/courses/292789/lectures/4505651" TargetMode="External"/><Relationship Id="rId399" Type="http://schemas.openxmlformats.org/officeDocument/2006/relationships/hyperlink" Target="https://chinesezerotohero.teachable.com/courses/302461/lectures/5044265" TargetMode="External"/><Relationship Id="rId156" Type="http://schemas.openxmlformats.org/officeDocument/2006/relationships/hyperlink" Target="https://chinesezerotohero.teachable.com/courses/182498/lectures/2764096" TargetMode="External"/><Relationship Id="rId277" Type="http://schemas.openxmlformats.org/officeDocument/2006/relationships/hyperlink" Target="https://chinesezerotohero.teachable.com/courses/292789/lectures/4505651" TargetMode="External"/><Relationship Id="rId398" Type="http://schemas.openxmlformats.org/officeDocument/2006/relationships/hyperlink" Target="https://chinesezerotohero.teachable.com/courses/302461/lectures/5044264" TargetMode="External"/><Relationship Id="rId155" Type="http://schemas.openxmlformats.org/officeDocument/2006/relationships/hyperlink" Target="https://chinesezerotohero.teachable.com/courses/182498/lectures/2764096" TargetMode="External"/><Relationship Id="rId276" Type="http://schemas.openxmlformats.org/officeDocument/2006/relationships/hyperlink" Target="https://chinesezerotohero.teachable.com/courses/292789/lectures/4505652" TargetMode="External"/><Relationship Id="rId397" Type="http://schemas.openxmlformats.org/officeDocument/2006/relationships/hyperlink" Target="https://chinesezerotohero.teachable.com/courses/302461/lectures/5044264" TargetMode="External"/><Relationship Id="rId40" Type="http://schemas.openxmlformats.org/officeDocument/2006/relationships/hyperlink" Target="https://chinesezerotohero.teachable.com/courses/188342/lectures/2863647" TargetMode="External"/><Relationship Id="rId42" Type="http://schemas.openxmlformats.org/officeDocument/2006/relationships/hyperlink" Target="https://chinesezerotohero.teachable.com/courses/188342/lectures/2863650" TargetMode="External"/><Relationship Id="rId41" Type="http://schemas.openxmlformats.org/officeDocument/2006/relationships/hyperlink" Target="https://chinesezerotohero.teachable.com/courses/188342/lectures/2863649" TargetMode="External"/><Relationship Id="rId44" Type="http://schemas.openxmlformats.org/officeDocument/2006/relationships/hyperlink" Target="https://chinesezerotohero.teachable.com/courses/188342/lectures/2863651" TargetMode="External"/><Relationship Id="rId43" Type="http://schemas.openxmlformats.org/officeDocument/2006/relationships/hyperlink" Target="https://chinesezerotohero.teachable.com/courses/188342/lectures/2863651" TargetMode="External"/><Relationship Id="rId46" Type="http://schemas.openxmlformats.org/officeDocument/2006/relationships/hyperlink" Target="https://chinesezerotohero.teachable.com/courses/188342/lectures/2863654" TargetMode="External"/><Relationship Id="rId45" Type="http://schemas.openxmlformats.org/officeDocument/2006/relationships/hyperlink" Target="https://chinesezerotohero.teachable.com/courses/188342/lectures/2863652" TargetMode="External"/><Relationship Id="rId509" Type="http://schemas.openxmlformats.org/officeDocument/2006/relationships/hyperlink" Target="https://chinesezerotohero.teachable.com/courses/302483/lectures/5607695" TargetMode="External"/><Relationship Id="rId508" Type="http://schemas.openxmlformats.org/officeDocument/2006/relationships/hyperlink" Target="https://chinesezerotohero.teachable.com/courses/302483/lectures/5607693" TargetMode="External"/><Relationship Id="rId629" Type="http://schemas.openxmlformats.org/officeDocument/2006/relationships/hyperlink" Target="https://chinesezerotohero.teachable.com/courses/302498/lectures/6429542" TargetMode="External"/><Relationship Id="rId503" Type="http://schemas.openxmlformats.org/officeDocument/2006/relationships/hyperlink" Target="https://chinesezerotohero.teachable.com/courses/302483/lectures/5607691" TargetMode="External"/><Relationship Id="rId624" Type="http://schemas.openxmlformats.org/officeDocument/2006/relationships/hyperlink" Target="https://chinesezerotohero.teachable.com/courses/302498/lectures/6429538" TargetMode="External"/><Relationship Id="rId502" Type="http://schemas.openxmlformats.org/officeDocument/2006/relationships/hyperlink" Target="https://chinesezerotohero.teachable.com/courses/302483/lectures/5607691" TargetMode="External"/><Relationship Id="rId623" Type="http://schemas.openxmlformats.org/officeDocument/2006/relationships/hyperlink" Target="https://chinesezerotohero.teachable.com/courses/302498/lectures/6429536" TargetMode="External"/><Relationship Id="rId501" Type="http://schemas.openxmlformats.org/officeDocument/2006/relationships/hyperlink" Target="https://chinesezerotohero.teachable.com/courses/302483/lectures/5607688" TargetMode="External"/><Relationship Id="rId622" Type="http://schemas.openxmlformats.org/officeDocument/2006/relationships/hyperlink" Target="https://chinesezerotohero.teachable.com/courses/302498/lectures/6429534" TargetMode="External"/><Relationship Id="rId500" Type="http://schemas.openxmlformats.org/officeDocument/2006/relationships/hyperlink" Target="https://chinesezerotohero.teachable.com/courses/302483/lectures/5607688" TargetMode="External"/><Relationship Id="rId621" Type="http://schemas.openxmlformats.org/officeDocument/2006/relationships/hyperlink" Target="https://chinesezerotohero.teachable.com/courses/302498/lectures/6429533" TargetMode="External"/><Relationship Id="rId507" Type="http://schemas.openxmlformats.org/officeDocument/2006/relationships/hyperlink" Target="https://chinesezerotohero.teachable.com/courses/302483/lectures/5607693" TargetMode="External"/><Relationship Id="rId628" Type="http://schemas.openxmlformats.org/officeDocument/2006/relationships/hyperlink" Target="https://chinesezerotohero.teachable.com/courses/302498/lectures/6429542" TargetMode="External"/><Relationship Id="rId506" Type="http://schemas.openxmlformats.org/officeDocument/2006/relationships/hyperlink" Target="https://chinesezerotohero.teachable.com/courses/302483/lectures/5607694" TargetMode="External"/><Relationship Id="rId627" Type="http://schemas.openxmlformats.org/officeDocument/2006/relationships/hyperlink" Target="https://chinesezerotohero.teachable.com/courses/302498/lectures/6429543" TargetMode="External"/><Relationship Id="rId505" Type="http://schemas.openxmlformats.org/officeDocument/2006/relationships/hyperlink" Target="https://chinesezerotohero.teachable.com/courses/302483/lectures/5607692" TargetMode="External"/><Relationship Id="rId626" Type="http://schemas.openxmlformats.org/officeDocument/2006/relationships/hyperlink" Target="https://chinesezerotohero.teachable.com/courses/302498/lectures/6429537" TargetMode="External"/><Relationship Id="rId504" Type="http://schemas.openxmlformats.org/officeDocument/2006/relationships/hyperlink" Target="https://chinesezerotohero.teachable.com/courses/302483/lectures/5607692" TargetMode="External"/><Relationship Id="rId625" Type="http://schemas.openxmlformats.org/officeDocument/2006/relationships/hyperlink" Target="https://chinesezerotohero.teachable.com/courses/302498/lectures/6429544" TargetMode="External"/><Relationship Id="rId48" Type="http://schemas.openxmlformats.org/officeDocument/2006/relationships/hyperlink" Target="https://chinesezerotohero.teachable.com/courses/188342/lectures/2863655" TargetMode="External"/><Relationship Id="rId47" Type="http://schemas.openxmlformats.org/officeDocument/2006/relationships/hyperlink" Target="https://chinesezerotohero.teachable.com/courses/188342/lectures/2863656" TargetMode="External"/><Relationship Id="rId49" Type="http://schemas.openxmlformats.org/officeDocument/2006/relationships/hyperlink" Target="https://chinesezerotohero.teachable.com/courses/188342/lectures/2863655" TargetMode="External"/><Relationship Id="rId620" Type="http://schemas.openxmlformats.org/officeDocument/2006/relationships/hyperlink" Target="https://chinesezerotohero.teachable.com/courses/302498/lectures/6429533" TargetMode="External"/><Relationship Id="rId31" Type="http://schemas.openxmlformats.org/officeDocument/2006/relationships/hyperlink" Target="https://chinesezerotohero.teachable.com/courses/188342/lectures/2863637" TargetMode="External"/><Relationship Id="rId30" Type="http://schemas.openxmlformats.org/officeDocument/2006/relationships/hyperlink" Target="https://chinesezerotohero.teachable.com/courses/188342/lectures/2863637" TargetMode="External"/><Relationship Id="rId33" Type="http://schemas.openxmlformats.org/officeDocument/2006/relationships/hyperlink" Target="https://chinesezerotohero.teachable.com/courses/188342/lectures/2863640" TargetMode="External"/><Relationship Id="rId32" Type="http://schemas.openxmlformats.org/officeDocument/2006/relationships/hyperlink" Target="https://chinesezerotohero.teachable.com/courses/188342/lectures/2863641" TargetMode="External"/><Relationship Id="rId35" Type="http://schemas.openxmlformats.org/officeDocument/2006/relationships/hyperlink" Target="https://chinesezerotohero.teachable.com/courses/188342/lectures/2863644" TargetMode="External"/><Relationship Id="rId34" Type="http://schemas.openxmlformats.org/officeDocument/2006/relationships/hyperlink" Target="https://chinesezerotohero.teachable.com/courses/188342/lectures/2863643" TargetMode="External"/><Relationship Id="rId619" Type="http://schemas.openxmlformats.org/officeDocument/2006/relationships/hyperlink" Target="https://chinesezerotohero.teachable.com/courses/302498/lectures/6429532" TargetMode="External"/><Relationship Id="rId618" Type="http://schemas.openxmlformats.org/officeDocument/2006/relationships/hyperlink" Target="https://chinesezerotohero.teachable.com/courses/302498/lectures/6429530" TargetMode="External"/><Relationship Id="rId613" Type="http://schemas.openxmlformats.org/officeDocument/2006/relationships/hyperlink" Target="https://chinesezerotohero.teachable.com/courses/302498/lectures/6429527" TargetMode="External"/><Relationship Id="rId612" Type="http://schemas.openxmlformats.org/officeDocument/2006/relationships/hyperlink" Target="https://chinesezerotohero.teachable.com/courses/302498/lectures/6429527" TargetMode="External"/><Relationship Id="rId611" Type="http://schemas.openxmlformats.org/officeDocument/2006/relationships/hyperlink" Target="https://chinesezerotohero.teachable.com/courses/302498/lectures/6429526" TargetMode="External"/><Relationship Id="rId610" Type="http://schemas.openxmlformats.org/officeDocument/2006/relationships/hyperlink" Target="https://chinesezerotohero.teachable.com/courses/302498/lectures/6429528" TargetMode="External"/><Relationship Id="rId617" Type="http://schemas.openxmlformats.org/officeDocument/2006/relationships/hyperlink" Target="https://chinesezerotohero.teachable.com/courses/302498/lectures/6429531" TargetMode="External"/><Relationship Id="rId616" Type="http://schemas.openxmlformats.org/officeDocument/2006/relationships/hyperlink" Target="https://chinesezerotohero.teachable.com/courses/302498/lectures/6429535" TargetMode="External"/><Relationship Id="rId615" Type="http://schemas.openxmlformats.org/officeDocument/2006/relationships/hyperlink" Target="https://chinesezerotohero.teachable.com/courses/302498/lectures/6429524" TargetMode="External"/><Relationship Id="rId614" Type="http://schemas.openxmlformats.org/officeDocument/2006/relationships/hyperlink" Target="https://chinesezerotohero.teachable.com/courses/302498/lectures/6429529" TargetMode="External"/><Relationship Id="rId37" Type="http://schemas.openxmlformats.org/officeDocument/2006/relationships/hyperlink" Target="https://chinesezerotohero.teachable.com/courses/188342/lectures/2863645" TargetMode="External"/><Relationship Id="rId36" Type="http://schemas.openxmlformats.org/officeDocument/2006/relationships/hyperlink" Target="https://chinesezerotohero.teachable.com/courses/188342/lectures/2863644" TargetMode="External"/><Relationship Id="rId39" Type="http://schemas.openxmlformats.org/officeDocument/2006/relationships/hyperlink" Target="https://chinesezerotohero.teachable.com/courses/188342/lectures/2863647" TargetMode="External"/><Relationship Id="rId38" Type="http://schemas.openxmlformats.org/officeDocument/2006/relationships/hyperlink" Target="https://chinesezerotohero.teachable.com/courses/188342/lectures/2863645" TargetMode="External"/><Relationship Id="rId20" Type="http://schemas.openxmlformats.org/officeDocument/2006/relationships/hyperlink" Target="https://chinesezerotohero.teachable.com/courses/185499/lectures/2843981" TargetMode="External"/><Relationship Id="rId22" Type="http://schemas.openxmlformats.org/officeDocument/2006/relationships/hyperlink" Target="https://chinesezerotohero.teachable.com/courses/185499/lectures/2843979" TargetMode="External"/><Relationship Id="rId21" Type="http://schemas.openxmlformats.org/officeDocument/2006/relationships/hyperlink" Target="https://chinesezerotohero.teachable.com/courses/185499/lectures/2843978" TargetMode="External"/><Relationship Id="rId24" Type="http://schemas.openxmlformats.org/officeDocument/2006/relationships/hyperlink" Target="https://chinesezerotohero.teachable.com/courses/185499/lectures/2843980" TargetMode="External"/><Relationship Id="rId23" Type="http://schemas.openxmlformats.org/officeDocument/2006/relationships/hyperlink" Target="https://chinesezerotohero.teachable.com/courses/185499/lectures/2843979" TargetMode="External"/><Relationship Id="rId409" Type="http://schemas.openxmlformats.org/officeDocument/2006/relationships/hyperlink" Target="https://chinesezerotohero.teachable.com/courses/302461/lectures/5044270" TargetMode="External"/><Relationship Id="rId404" Type="http://schemas.openxmlformats.org/officeDocument/2006/relationships/hyperlink" Target="https://chinesezerotohero.teachable.com/courses/302461/lectures/5044269" TargetMode="External"/><Relationship Id="rId525" Type="http://schemas.openxmlformats.org/officeDocument/2006/relationships/hyperlink" Target="https://chinesezerotohero.teachable.com/courses/302490/lectures/5607731" TargetMode="External"/><Relationship Id="rId646" Type="http://schemas.openxmlformats.org/officeDocument/2006/relationships/hyperlink" Target="https://chinesezerotohero.teachable.com/courses/302505/lectures/7010602" TargetMode="External"/><Relationship Id="rId403" Type="http://schemas.openxmlformats.org/officeDocument/2006/relationships/hyperlink" Target="https://chinesezerotohero.teachable.com/courses/302461/lectures/5044269" TargetMode="External"/><Relationship Id="rId524" Type="http://schemas.openxmlformats.org/officeDocument/2006/relationships/hyperlink" Target="https://chinesezerotohero.teachable.com/courses/302490/lectures/5607728" TargetMode="External"/><Relationship Id="rId645" Type="http://schemas.openxmlformats.org/officeDocument/2006/relationships/hyperlink" Target="https://chinesezerotohero.teachable.com/courses/302505/lectures/7010394" TargetMode="External"/><Relationship Id="rId402" Type="http://schemas.openxmlformats.org/officeDocument/2006/relationships/hyperlink" Target="https://chinesezerotohero.teachable.com/courses/302461/lectures/5044266" TargetMode="External"/><Relationship Id="rId523" Type="http://schemas.openxmlformats.org/officeDocument/2006/relationships/hyperlink" Target="https://chinesezerotohero.teachable.com/courses/302490/lectures/5607728" TargetMode="External"/><Relationship Id="rId644" Type="http://schemas.openxmlformats.org/officeDocument/2006/relationships/hyperlink" Target="https://chinesezerotohero.teachable.com/courses/302505/lectures/7010390" TargetMode="External"/><Relationship Id="rId401" Type="http://schemas.openxmlformats.org/officeDocument/2006/relationships/hyperlink" Target="https://chinesezerotohero.teachable.com/courses/302461/lectures/5044266" TargetMode="External"/><Relationship Id="rId522" Type="http://schemas.openxmlformats.org/officeDocument/2006/relationships/hyperlink" Target="https://chinesezerotohero.teachable.com/courses/302490/lectures/5607729" TargetMode="External"/><Relationship Id="rId643" Type="http://schemas.openxmlformats.org/officeDocument/2006/relationships/hyperlink" Target="https://chinesezerotohero.teachable.com/courses/302505/lectures/7009070" TargetMode="External"/><Relationship Id="rId408" Type="http://schemas.openxmlformats.org/officeDocument/2006/relationships/hyperlink" Target="https://chinesezerotohero.teachable.com/courses/302461/lectures/5044272" TargetMode="External"/><Relationship Id="rId529" Type="http://schemas.openxmlformats.org/officeDocument/2006/relationships/hyperlink" Target="https://chinesezerotohero.teachable.com/courses/302490/lectures/5607732" TargetMode="External"/><Relationship Id="rId407" Type="http://schemas.openxmlformats.org/officeDocument/2006/relationships/hyperlink" Target="https://chinesezerotohero.teachable.com/courses/302461/lectures/5044272" TargetMode="External"/><Relationship Id="rId528" Type="http://schemas.openxmlformats.org/officeDocument/2006/relationships/hyperlink" Target="https://chinesezerotohero.teachable.com/courses/302490/lectures/5607730" TargetMode="External"/><Relationship Id="rId649" Type="http://schemas.openxmlformats.org/officeDocument/2006/relationships/hyperlink" Target="https://chinesezerotohero.teachable.com/courses/302505/lectures/8421523" TargetMode="External"/><Relationship Id="rId406" Type="http://schemas.openxmlformats.org/officeDocument/2006/relationships/hyperlink" Target="https://chinesezerotohero.teachable.com/courses/302461/lectures/5044271" TargetMode="External"/><Relationship Id="rId527" Type="http://schemas.openxmlformats.org/officeDocument/2006/relationships/hyperlink" Target="https://chinesezerotohero.teachable.com/courses/302490/lectures/5607730" TargetMode="External"/><Relationship Id="rId648" Type="http://schemas.openxmlformats.org/officeDocument/2006/relationships/hyperlink" Target="https://chinesezerotohero.teachable.com/courses/302505/lectures/8421523" TargetMode="External"/><Relationship Id="rId405" Type="http://schemas.openxmlformats.org/officeDocument/2006/relationships/hyperlink" Target="https://chinesezerotohero.teachable.com/courses/302461/lectures/5044271" TargetMode="External"/><Relationship Id="rId526" Type="http://schemas.openxmlformats.org/officeDocument/2006/relationships/hyperlink" Target="https://chinesezerotohero.teachable.com/courses/302490/lectures/5607731" TargetMode="External"/><Relationship Id="rId647" Type="http://schemas.openxmlformats.org/officeDocument/2006/relationships/hyperlink" Target="https://chinesezerotohero.teachable.com/courses/302505/lectures/8414339" TargetMode="External"/><Relationship Id="rId26" Type="http://schemas.openxmlformats.org/officeDocument/2006/relationships/hyperlink" Target="https://chinesezerotohero.teachable.com/courses/188342/lectures/2863635" TargetMode="External"/><Relationship Id="rId25" Type="http://schemas.openxmlformats.org/officeDocument/2006/relationships/hyperlink" Target="https://chinesezerotohero.teachable.com/courses/188342/lectures/2863638" TargetMode="External"/><Relationship Id="rId28" Type="http://schemas.openxmlformats.org/officeDocument/2006/relationships/hyperlink" Target="https://chinesezerotohero.teachable.com/courses/188342/lectures/2863634" TargetMode="External"/><Relationship Id="rId27" Type="http://schemas.openxmlformats.org/officeDocument/2006/relationships/hyperlink" Target="https://chinesezerotohero.teachable.com/courses/188342/lectures/2863639" TargetMode="External"/><Relationship Id="rId400" Type="http://schemas.openxmlformats.org/officeDocument/2006/relationships/hyperlink" Target="https://chinesezerotohero.teachable.com/courses/302461/lectures/5044265" TargetMode="External"/><Relationship Id="rId521" Type="http://schemas.openxmlformats.org/officeDocument/2006/relationships/hyperlink" Target="https://chinesezerotohero.teachable.com/courses/302490/lectures/5607729" TargetMode="External"/><Relationship Id="rId642" Type="http://schemas.openxmlformats.org/officeDocument/2006/relationships/hyperlink" Target="https://chinesezerotohero.teachable.com/courses/302505/lectures/7008583" TargetMode="External"/><Relationship Id="rId29" Type="http://schemas.openxmlformats.org/officeDocument/2006/relationships/hyperlink" Target="https://chinesezerotohero.teachable.com/courses/188342/lectures/2863634" TargetMode="External"/><Relationship Id="rId520" Type="http://schemas.openxmlformats.org/officeDocument/2006/relationships/hyperlink" Target="https://chinesezerotohero.teachable.com/courses/302483/lectures/5607700" TargetMode="External"/><Relationship Id="rId641" Type="http://schemas.openxmlformats.org/officeDocument/2006/relationships/hyperlink" Target="https://chinesezerotohero.teachable.com/courses/302505/lectures/7007909" TargetMode="External"/><Relationship Id="rId640" Type="http://schemas.openxmlformats.org/officeDocument/2006/relationships/hyperlink" Target="https://chinesezerotohero.teachable.com/courses/302505/lectures/6993315" TargetMode="External"/><Relationship Id="rId11" Type="http://schemas.openxmlformats.org/officeDocument/2006/relationships/hyperlink" Target="https://chinesezerotohero.teachable.com/courses/185499/lectures/2843842" TargetMode="External"/><Relationship Id="rId10" Type="http://schemas.openxmlformats.org/officeDocument/2006/relationships/hyperlink" Target="https://chinesezerotohero.teachable.com/courses/185499/lectures/2843846" TargetMode="External"/><Relationship Id="rId13" Type="http://schemas.openxmlformats.org/officeDocument/2006/relationships/hyperlink" Target="https://chinesezerotohero.teachable.com/courses/185499/lectures/2843844" TargetMode="External"/><Relationship Id="rId12" Type="http://schemas.openxmlformats.org/officeDocument/2006/relationships/hyperlink" Target="https://chinesezerotohero.teachable.com/courses/185499/lectures/2843845" TargetMode="External"/><Relationship Id="rId519" Type="http://schemas.openxmlformats.org/officeDocument/2006/relationships/hyperlink" Target="https://chinesezerotohero.teachable.com/courses/302483/lectures/5607700" TargetMode="External"/><Relationship Id="rId514" Type="http://schemas.openxmlformats.org/officeDocument/2006/relationships/hyperlink" Target="https://chinesezerotohero.teachable.com/courses/302483/lectures/5607697" TargetMode="External"/><Relationship Id="rId635" Type="http://schemas.openxmlformats.org/officeDocument/2006/relationships/hyperlink" Target="https://chinesezerotohero.teachable.com/courses/302505/lectures/6993037" TargetMode="External"/><Relationship Id="rId513" Type="http://schemas.openxmlformats.org/officeDocument/2006/relationships/hyperlink" Target="https://chinesezerotohero.teachable.com/courses/302483/lectures/5607698" TargetMode="External"/><Relationship Id="rId634" Type="http://schemas.openxmlformats.org/officeDocument/2006/relationships/hyperlink" Target="https://chinesezerotohero.teachable.com/courses/302505/lectures/6993035" TargetMode="External"/><Relationship Id="rId512" Type="http://schemas.openxmlformats.org/officeDocument/2006/relationships/hyperlink" Target="https://chinesezerotohero.teachable.com/courses/302483/lectures/5607696" TargetMode="External"/><Relationship Id="rId633" Type="http://schemas.openxmlformats.org/officeDocument/2006/relationships/hyperlink" Target="https://chinesezerotohero.teachable.com/courses/302505/lectures/6993032" TargetMode="External"/><Relationship Id="rId511" Type="http://schemas.openxmlformats.org/officeDocument/2006/relationships/hyperlink" Target="https://chinesezerotohero.teachable.com/courses/302483/lectures/5607696" TargetMode="External"/><Relationship Id="rId632" Type="http://schemas.openxmlformats.org/officeDocument/2006/relationships/hyperlink" Target="https://chinesezerotohero.teachable.com/courses/302498/lectures/6429540" TargetMode="External"/><Relationship Id="rId518" Type="http://schemas.openxmlformats.org/officeDocument/2006/relationships/hyperlink" Target="https://chinesezerotohero.teachable.com/courses/302483/lectures/5607699" TargetMode="External"/><Relationship Id="rId639" Type="http://schemas.openxmlformats.org/officeDocument/2006/relationships/hyperlink" Target="https://chinesezerotohero.teachable.com/courses/302505/lectures/6993128" TargetMode="External"/><Relationship Id="rId517" Type="http://schemas.openxmlformats.org/officeDocument/2006/relationships/hyperlink" Target="https://chinesezerotohero.teachable.com/courses/302483/lectures/5607699" TargetMode="External"/><Relationship Id="rId638" Type="http://schemas.openxmlformats.org/officeDocument/2006/relationships/hyperlink" Target="https://chinesezerotohero.teachable.com/courses/302505/lectures/6993128" TargetMode="External"/><Relationship Id="rId516" Type="http://schemas.openxmlformats.org/officeDocument/2006/relationships/hyperlink" Target="https://chinesezerotohero.teachable.com/courses/302483/lectures/5607701" TargetMode="External"/><Relationship Id="rId637" Type="http://schemas.openxmlformats.org/officeDocument/2006/relationships/hyperlink" Target="https://chinesezerotohero.teachable.com/courses/302505/lectures/6993041" TargetMode="External"/><Relationship Id="rId515" Type="http://schemas.openxmlformats.org/officeDocument/2006/relationships/hyperlink" Target="https://chinesezerotohero.teachable.com/courses/302483/lectures/5607697" TargetMode="External"/><Relationship Id="rId636" Type="http://schemas.openxmlformats.org/officeDocument/2006/relationships/hyperlink" Target="https://chinesezerotohero.teachable.com/courses/302505/lectures/6993039" TargetMode="External"/><Relationship Id="rId15" Type="http://schemas.openxmlformats.org/officeDocument/2006/relationships/hyperlink" Target="https://chinesezerotohero.teachable.com/courses/185499/lectures/2843971" TargetMode="External"/><Relationship Id="rId14" Type="http://schemas.openxmlformats.org/officeDocument/2006/relationships/hyperlink" Target="https://chinesezerotohero.teachable.com/courses/185499/lectures/2844550" TargetMode="External"/><Relationship Id="rId17" Type="http://schemas.openxmlformats.org/officeDocument/2006/relationships/hyperlink" Target="https://chinesezerotohero.teachable.com/courses/185499/lectures/2843976" TargetMode="External"/><Relationship Id="rId16" Type="http://schemas.openxmlformats.org/officeDocument/2006/relationships/hyperlink" Target="https://chinesezerotohero.teachable.com/courses/185499/lectures/2843972" TargetMode="External"/><Relationship Id="rId19" Type="http://schemas.openxmlformats.org/officeDocument/2006/relationships/hyperlink" Target="https://chinesezerotohero.teachable.com/courses/185499/lectures/2843974" TargetMode="External"/><Relationship Id="rId510" Type="http://schemas.openxmlformats.org/officeDocument/2006/relationships/hyperlink" Target="https://chinesezerotohero.teachable.com/courses/302483/lectures/5607695" TargetMode="External"/><Relationship Id="rId631" Type="http://schemas.openxmlformats.org/officeDocument/2006/relationships/hyperlink" Target="https://chinesezerotohero.teachable.com/courses/302498/lectures/6429540" TargetMode="External"/><Relationship Id="rId18" Type="http://schemas.openxmlformats.org/officeDocument/2006/relationships/hyperlink" Target="https://chinesezerotohero.teachable.com/courses/185499/lectures/2843973" TargetMode="External"/><Relationship Id="rId630" Type="http://schemas.openxmlformats.org/officeDocument/2006/relationships/hyperlink" Target="https://chinesezerotohero.teachable.com/courses/302498/lectures/6429539" TargetMode="External"/><Relationship Id="rId84" Type="http://schemas.openxmlformats.org/officeDocument/2006/relationships/hyperlink" Target="https://chinesezerotohero.teachable.com/courses/191818/lectures/2949051" TargetMode="External"/><Relationship Id="rId83" Type="http://schemas.openxmlformats.org/officeDocument/2006/relationships/hyperlink" Target="https://chinesezerotohero.teachable.com/courses/191818/lectures/2949051" TargetMode="External"/><Relationship Id="rId86" Type="http://schemas.openxmlformats.org/officeDocument/2006/relationships/hyperlink" Target="https://chinesezerotohero.teachable.com/courses/191818/lectures/2949050" TargetMode="External"/><Relationship Id="rId85" Type="http://schemas.openxmlformats.org/officeDocument/2006/relationships/hyperlink" Target="https://chinesezerotohero.teachable.com/courses/191818/lectures/2949052" TargetMode="External"/><Relationship Id="rId88" Type="http://schemas.openxmlformats.org/officeDocument/2006/relationships/hyperlink" Target="https://chinesezerotohero.teachable.com/courses/191818/lectures/2949057" TargetMode="External"/><Relationship Id="rId87" Type="http://schemas.openxmlformats.org/officeDocument/2006/relationships/hyperlink" Target="https://chinesezerotohero.teachable.com/courses/191818/lectures/2949053" TargetMode="External"/><Relationship Id="rId89" Type="http://schemas.openxmlformats.org/officeDocument/2006/relationships/hyperlink" Target="https://chinesezerotohero.teachable.com/courses/191818/lectures/2949056" TargetMode="External"/><Relationship Id="rId80" Type="http://schemas.openxmlformats.org/officeDocument/2006/relationships/hyperlink" Target="https://chinesezerotohero.teachable.com/courses/191818/lectures/2949048" TargetMode="External"/><Relationship Id="rId82" Type="http://schemas.openxmlformats.org/officeDocument/2006/relationships/hyperlink" Target="https://chinesezerotohero.teachable.com/courses/191818/lectures/2949046" TargetMode="External"/><Relationship Id="rId81" Type="http://schemas.openxmlformats.org/officeDocument/2006/relationships/hyperlink" Target="https://chinesezerotohero.teachable.com/courses/191818/lectures/2949045" TargetMode="External"/><Relationship Id="rId73" Type="http://schemas.openxmlformats.org/officeDocument/2006/relationships/hyperlink" Target="https://chinesezerotohero.teachable.com/courses/191818/lectures/2949033" TargetMode="External"/><Relationship Id="rId72" Type="http://schemas.openxmlformats.org/officeDocument/2006/relationships/hyperlink" Target="https://chinesezerotohero.teachable.com/courses/191818/lectures/2949030" TargetMode="External"/><Relationship Id="rId75" Type="http://schemas.openxmlformats.org/officeDocument/2006/relationships/hyperlink" Target="https://chinesezerotohero.teachable.com/courses/191818/lectures/2949037" TargetMode="External"/><Relationship Id="rId74" Type="http://schemas.openxmlformats.org/officeDocument/2006/relationships/hyperlink" Target="https://chinesezerotohero.teachable.com/courses/191818/lectures/2949035" TargetMode="External"/><Relationship Id="rId77" Type="http://schemas.openxmlformats.org/officeDocument/2006/relationships/hyperlink" Target="https://chinesezerotohero.teachable.com/courses/191818/lectures/2949040" TargetMode="External"/><Relationship Id="rId76" Type="http://schemas.openxmlformats.org/officeDocument/2006/relationships/hyperlink" Target="https://chinesezerotohero.teachable.com/courses/191818/lectures/2949036" TargetMode="External"/><Relationship Id="rId79" Type="http://schemas.openxmlformats.org/officeDocument/2006/relationships/hyperlink" Target="https://chinesezerotohero.teachable.com/courses/191818/lectures/2949042" TargetMode="External"/><Relationship Id="rId78" Type="http://schemas.openxmlformats.org/officeDocument/2006/relationships/hyperlink" Target="https://chinesezerotohero.teachable.com/courses/191818/lectures/2949041" TargetMode="External"/><Relationship Id="rId71" Type="http://schemas.openxmlformats.org/officeDocument/2006/relationships/hyperlink" Target="https://chinesezerotohero.teachable.com/courses/191818/lectures/2949031" TargetMode="External"/><Relationship Id="rId70" Type="http://schemas.openxmlformats.org/officeDocument/2006/relationships/hyperlink" Target="https://chinesezerotohero.teachable.com/courses/191818/lectures/2949027" TargetMode="External"/><Relationship Id="rId62" Type="http://schemas.openxmlformats.org/officeDocument/2006/relationships/hyperlink" Target="https://chinesezerotohero.teachable.com/courses/191818/lectures/2949022" TargetMode="External"/><Relationship Id="rId61" Type="http://schemas.openxmlformats.org/officeDocument/2006/relationships/hyperlink" Target="https://chinesezerotohero.teachable.com/courses/191818/lectures/2949025" TargetMode="External"/><Relationship Id="rId64" Type="http://schemas.openxmlformats.org/officeDocument/2006/relationships/hyperlink" Target="https://chinesezerotohero.teachable.com/courses/191818/lectures/2949022" TargetMode="External"/><Relationship Id="rId63" Type="http://schemas.openxmlformats.org/officeDocument/2006/relationships/hyperlink" Target="https://chinesezerotohero.teachable.com/courses/191818/lectures/2949022" TargetMode="External"/><Relationship Id="rId66" Type="http://schemas.openxmlformats.org/officeDocument/2006/relationships/hyperlink" Target="https://chinesezerotohero.teachable.com/courses/191818/lectures/2949022" TargetMode="External"/><Relationship Id="rId65" Type="http://schemas.openxmlformats.org/officeDocument/2006/relationships/hyperlink" Target="https://chinesezerotohero.teachable.com/courses/191818/lectures/2949022" TargetMode="External"/><Relationship Id="rId68" Type="http://schemas.openxmlformats.org/officeDocument/2006/relationships/hyperlink" Target="https://chinesezerotohero.teachable.com/courses/191818/lectures/2949020" TargetMode="External"/><Relationship Id="rId67" Type="http://schemas.openxmlformats.org/officeDocument/2006/relationships/hyperlink" Target="https://chinesezerotohero.teachable.com/courses/191818/lectures/2949022" TargetMode="External"/><Relationship Id="rId609" Type="http://schemas.openxmlformats.org/officeDocument/2006/relationships/hyperlink" Target="https://chinesezerotohero.teachable.com/courses/302498/lectures/6429525" TargetMode="External"/><Relationship Id="rId608" Type="http://schemas.openxmlformats.org/officeDocument/2006/relationships/hyperlink" Target="https://chinesezerotohero.teachable.com/courses/302498/lectures/6429521" TargetMode="External"/><Relationship Id="rId607" Type="http://schemas.openxmlformats.org/officeDocument/2006/relationships/hyperlink" Target="https://chinesezerotohero.teachable.com/courses/302498/lectures/6429523" TargetMode="External"/><Relationship Id="rId60" Type="http://schemas.openxmlformats.org/officeDocument/2006/relationships/hyperlink" Target="https://chinesezerotohero.teachable.com/courses/191818/lectures/2949023" TargetMode="External"/><Relationship Id="rId602" Type="http://schemas.openxmlformats.org/officeDocument/2006/relationships/hyperlink" Target="https://chinesezerotohero.teachable.com/courses/302498/lectures/6429519" TargetMode="External"/><Relationship Id="rId601" Type="http://schemas.openxmlformats.org/officeDocument/2006/relationships/hyperlink" Target="https://chinesezerotohero.teachable.com/courses/302498/lectures/6429516" TargetMode="External"/><Relationship Id="rId600" Type="http://schemas.openxmlformats.org/officeDocument/2006/relationships/hyperlink" Target="https://chinesezerotohero.teachable.com/courses/302498/lectures/6429518" TargetMode="External"/><Relationship Id="rId606" Type="http://schemas.openxmlformats.org/officeDocument/2006/relationships/hyperlink" Target="https://chinesezerotohero.teachable.com/courses/302498/lectures/6429522" TargetMode="External"/><Relationship Id="rId605" Type="http://schemas.openxmlformats.org/officeDocument/2006/relationships/hyperlink" Target="https://chinesezerotohero.teachable.com/courses/302498/lectures/6429520" TargetMode="External"/><Relationship Id="rId604" Type="http://schemas.openxmlformats.org/officeDocument/2006/relationships/hyperlink" Target="https://chinesezerotohero.teachable.com/courses/302498/lectures/6429515" TargetMode="External"/><Relationship Id="rId603" Type="http://schemas.openxmlformats.org/officeDocument/2006/relationships/hyperlink" Target="https://chinesezerotohero.teachable.com/courses/302498/lectures/6429517" TargetMode="External"/><Relationship Id="rId69" Type="http://schemas.openxmlformats.org/officeDocument/2006/relationships/hyperlink" Target="https://chinesezerotohero.teachable.com/courses/191818/lectures/2949026" TargetMode="External"/><Relationship Id="rId51" Type="http://schemas.openxmlformats.org/officeDocument/2006/relationships/hyperlink" Target="https://chinesezerotohero.teachable.com/courses/188342/lectures/2863659" TargetMode="External"/><Relationship Id="rId50" Type="http://schemas.openxmlformats.org/officeDocument/2006/relationships/hyperlink" Target="https://chinesezerotohero.teachable.com/courses/188342/lectures/2863657" TargetMode="External"/><Relationship Id="rId53" Type="http://schemas.openxmlformats.org/officeDocument/2006/relationships/hyperlink" Target="https://chinesezerotohero.teachable.com/courses/188342/lectures/2863659" TargetMode="External"/><Relationship Id="rId52" Type="http://schemas.openxmlformats.org/officeDocument/2006/relationships/hyperlink" Target="https://chinesezerotohero.teachable.com/courses/188342/lectures/2863659" TargetMode="External"/><Relationship Id="rId55" Type="http://schemas.openxmlformats.org/officeDocument/2006/relationships/hyperlink" Target="https://chinesezerotohero.teachable.com/courses/188342/lectures/2863661" TargetMode="External"/><Relationship Id="rId54" Type="http://schemas.openxmlformats.org/officeDocument/2006/relationships/hyperlink" Target="https://chinesezerotohero.teachable.com/courses/188342/lectures/2863661" TargetMode="External"/><Relationship Id="rId57" Type="http://schemas.openxmlformats.org/officeDocument/2006/relationships/hyperlink" Target="https://chinesezerotohero.teachable.com/courses/188342/lectures/2863662" TargetMode="External"/><Relationship Id="rId56" Type="http://schemas.openxmlformats.org/officeDocument/2006/relationships/hyperlink" Target="https://chinesezerotohero.teachable.com/courses/188342/lectures/2863660" TargetMode="External"/><Relationship Id="rId59" Type="http://schemas.openxmlformats.org/officeDocument/2006/relationships/hyperlink" Target="https://chinesezerotohero.teachable.com/courses/188342/lectures/2863666" TargetMode="External"/><Relationship Id="rId58" Type="http://schemas.openxmlformats.org/officeDocument/2006/relationships/hyperlink" Target="https://chinesezerotohero.teachable.com/courses/188342/lectures/2863664" TargetMode="External"/><Relationship Id="rId590" Type="http://schemas.openxmlformats.org/officeDocument/2006/relationships/hyperlink" Target="https://chinesezerotohero.teachable.com/courses/302494/lectures/6282878" TargetMode="External"/><Relationship Id="rId107" Type="http://schemas.openxmlformats.org/officeDocument/2006/relationships/hyperlink" Target="https://chinesezerotohero.teachable.com/courses/191830/lectures/2949102" TargetMode="External"/><Relationship Id="rId228" Type="http://schemas.openxmlformats.org/officeDocument/2006/relationships/hyperlink" Target="https://chinesezerotohero.teachable.com/courses/281078/lectures/4423053" TargetMode="External"/><Relationship Id="rId349" Type="http://schemas.openxmlformats.org/officeDocument/2006/relationships/hyperlink" Target="https://chinesezerotohero.teachable.com/courses/301751/lectures/4834145" TargetMode="External"/><Relationship Id="rId106" Type="http://schemas.openxmlformats.org/officeDocument/2006/relationships/hyperlink" Target="https://chinesezerotohero.teachable.com/courses/191830/lectures/2949102" TargetMode="External"/><Relationship Id="rId227" Type="http://schemas.openxmlformats.org/officeDocument/2006/relationships/hyperlink" Target="https://chinesezerotohero.teachable.com/courses/281078/lectures/4422195" TargetMode="External"/><Relationship Id="rId348" Type="http://schemas.openxmlformats.org/officeDocument/2006/relationships/hyperlink" Target="https://chinesezerotohero.teachable.com/courses/301751/lectures/4834145" TargetMode="External"/><Relationship Id="rId469" Type="http://schemas.openxmlformats.org/officeDocument/2006/relationships/hyperlink" Target="https://chinesezerotohero.teachable.com/courses/302482/lectures/5157641" TargetMode="External"/><Relationship Id="rId105" Type="http://schemas.openxmlformats.org/officeDocument/2006/relationships/hyperlink" Target="https://chinesezerotohero.teachable.com/courses/191830/lectures/2949097" TargetMode="External"/><Relationship Id="rId226" Type="http://schemas.openxmlformats.org/officeDocument/2006/relationships/hyperlink" Target="https://chinesezerotohero.teachable.com/courses/281078/lectures/4422189" TargetMode="External"/><Relationship Id="rId347" Type="http://schemas.openxmlformats.org/officeDocument/2006/relationships/hyperlink" Target="https://chinesezerotohero.teachable.com/courses/301751/lectures/4834144" TargetMode="External"/><Relationship Id="rId468" Type="http://schemas.openxmlformats.org/officeDocument/2006/relationships/hyperlink" Target="https://chinesezerotohero.teachable.com/courses/302482/lectures/5157623" TargetMode="External"/><Relationship Id="rId589" Type="http://schemas.openxmlformats.org/officeDocument/2006/relationships/hyperlink" Target="https://chinesezerotohero.teachable.com/courses/302494/lectures/6282878" TargetMode="External"/><Relationship Id="rId104" Type="http://schemas.openxmlformats.org/officeDocument/2006/relationships/hyperlink" Target="https://chinesezerotohero.teachable.com/courses/191830/lectures/2949098" TargetMode="External"/><Relationship Id="rId225" Type="http://schemas.openxmlformats.org/officeDocument/2006/relationships/hyperlink" Target="https://chinesezerotohero.teachable.com/courses/281078/lectures/4422189" TargetMode="External"/><Relationship Id="rId346" Type="http://schemas.openxmlformats.org/officeDocument/2006/relationships/hyperlink" Target="https://chinesezerotohero.teachable.com/courses/301751/lectures/4834144" TargetMode="External"/><Relationship Id="rId467" Type="http://schemas.openxmlformats.org/officeDocument/2006/relationships/hyperlink" Target="https://chinesezerotohero.teachable.com/courses/302482/lectures/5157623" TargetMode="External"/><Relationship Id="rId588" Type="http://schemas.openxmlformats.org/officeDocument/2006/relationships/hyperlink" Target="https://chinesezerotohero.teachable.com/courses/302494/lectures/6282877" TargetMode="External"/><Relationship Id="rId109" Type="http://schemas.openxmlformats.org/officeDocument/2006/relationships/hyperlink" Target="https://chinesezerotohero.teachable.com/courses/191830/lectures/2949103" TargetMode="External"/><Relationship Id="rId108" Type="http://schemas.openxmlformats.org/officeDocument/2006/relationships/hyperlink" Target="https://chinesezerotohero.teachable.com/courses/191830/lectures/2949103" TargetMode="External"/><Relationship Id="rId229" Type="http://schemas.openxmlformats.org/officeDocument/2006/relationships/hyperlink" Target="https://chinesezerotohero.teachable.com/courses/281078/lectures/4423130" TargetMode="External"/><Relationship Id="rId220" Type="http://schemas.openxmlformats.org/officeDocument/2006/relationships/hyperlink" Target="https://chinesezerotohero.teachable.com/courses/281078/lectures/4422169" TargetMode="External"/><Relationship Id="rId341" Type="http://schemas.openxmlformats.org/officeDocument/2006/relationships/hyperlink" Target="https://chinesezerotohero.teachable.com/courses/301751/lectures/4834143" TargetMode="External"/><Relationship Id="rId462" Type="http://schemas.openxmlformats.org/officeDocument/2006/relationships/hyperlink" Target="https://chinesezerotohero.teachable.com/courses/302482/lectures/5157621" TargetMode="External"/><Relationship Id="rId583" Type="http://schemas.openxmlformats.org/officeDocument/2006/relationships/hyperlink" Target="https://chinesezerotohero.teachable.com/courses/302494/lectures/6144564" TargetMode="External"/><Relationship Id="rId340" Type="http://schemas.openxmlformats.org/officeDocument/2006/relationships/hyperlink" Target="https://chinesezerotohero.teachable.com/courses/301751/lectures/4834121" TargetMode="External"/><Relationship Id="rId461" Type="http://schemas.openxmlformats.org/officeDocument/2006/relationships/hyperlink" Target="https://chinesezerotohero.teachable.com/courses/302482/lectures/5157521" TargetMode="External"/><Relationship Id="rId582" Type="http://schemas.openxmlformats.org/officeDocument/2006/relationships/hyperlink" Target="https://chinesezerotohero.teachable.com/courses/302494/lectures/6144564" TargetMode="External"/><Relationship Id="rId460" Type="http://schemas.openxmlformats.org/officeDocument/2006/relationships/hyperlink" Target="https://chinesezerotohero.teachable.com/courses/302482/lectures/5157520" TargetMode="External"/><Relationship Id="rId581" Type="http://schemas.openxmlformats.org/officeDocument/2006/relationships/hyperlink" Target="https://chinesezerotohero.teachable.com/courses/302494/lectures/6144565" TargetMode="External"/><Relationship Id="rId580" Type="http://schemas.openxmlformats.org/officeDocument/2006/relationships/hyperlink" Target="https://chinesezerotohero.teachable.com/courses/302494/lectures/6144562" TargetMode="External"/><Relationship Id="rId103" Type="http://schemas.openxmlformats.org/officeDocument/2006/relationships/hyperlink" Target="https://chinesezerotohero.teachable.com/courses/191830/lectures/2949098" TargetMode="External"/><Relationship Id="rId224" Type="http://schemas.openxmlformats.org/officeDocument/2006/relationships/hyperlink" Target="https://chinesezerotohero.teachable.com/courses/281078/lectures/4422189" TargetMode="External"/><Relationship Id="rId345" Type="http://schemas.openxmlformats.org/officeDocument/2006/relationships/hyperlink" Target="https://chinesezerotohero.teachable.com/courses/301751/lectures/4834142" TargetMode="External"/><Relationship Id="rId466" Type="http://schemas.openxmlformats.org/officeDocument/2006/relationships/hyperlink" Target="https://chinesezerotohero.teachable.com/courses/302482/lectures/5157623" TargetMode="External"/><Relationship Id="rId587" Type="http://schemas.openxmlformats.org/officeDocument/2006/relationships/hyperlink" Target="https://chinesezerotohero.teachable.com/courses/302494/lectures/6282876" TargetMode="External"/><Relationship Id="rId102" Type="http://schemas.openxmlformats.org/officeDocument/2006/relationships/hyperlink" Target="https://chinesezerotohero.teachable.com/courses/191830/lectures/2949099" TargetMode="External"/><Relationship Id="rId223" Type="http://schemas.openxmlformats.org/officeDocument/2006/relationships/hyperlink" Target="https://chinesezerotohero.teachable.com/courses/281078/lectures/4422189" TargetMode="External"/><Relationship Id="rId344" Type="http://schemas.openxmlformats.org/officeDocument/2006/relationships/hyperlink" Target="https://chinesezerotohero.teachable.com/courses/301751/lectures/4834142" TargetMode="External"/><Relationship Id="rId465" Type="http://schemas.openxmlformats.org/officeDocument/2006/relationships/hyperlink" Target="https://chinesezerotohero.teachable.com/courses/302482/lectures/5157622" TargetMode="External"/><Relationship Id="rId586" Type="http://schemas.openxmlformats.org/officeDocument/2006/relationships/hyperlink" Target="https://chinesezerotohero.teachable.com/courses/302494/lectures/6282875" TargetMode="External"/><Relationship Id="rId101" Type="http://schemas.openxmlformats.org/officeDocument/2006/relationships/hyperlink" Target="https://chinesezerotohero.teachable.com/courses/191830/lectures/2949094" TargetMode="External"/><Relationship Id="rId222" Type="http://schemas.openxmlformats.org/officeDocument/2006/relationships/hyperlink" Target="https://chinesezerotohero.teachable.com/courses/281078/lectures/4422183" TargetMode="External"/><Relationship Id="rId343" Type="http://schemas.openxmlformats.org/officeDocument/2006/relationships/hyperlink" Target="https://chinesezerotohero.teachable.com/courses/301751/lectures/4834143" TargetMode="External"/><Relationship Id="rId464" Type="http://schemas.openxmlformats.org/officeDocument/2006/relationships/hyperlink" Target="https://chinesezerotohero.teachable.com/courses/302482/lectures/5157622" TargetMode="External"/><Relationship Id="rId585" Type="http://schemas.openxmlformats.org/officeDocument/2006/relationships/hyperlink" Target="https://chinesezerotohero.teachable.com/courses/302494/lectures/6282874" TargetMode="External"/><Relationship Id="rId100" Type="http://schemas.openxmlformats.org/officeDocument/2006/relationships/hyperlink" Target="https://chinesezerotohero.teachable.com/courses/191830/lectures/2949093" TargetMode="External"/><Relationship Id="rId221" Type="http://schemas.openxmlformats.org/officeDocument/2006/relationships/hyperlink" Target="https://chinesezerotohero.teachable.com/courses/281078/lectures/4422183" TargetMode="External"/><Relationship Id="rId342" Type="http://schemas.openxmlformats.org/officeDocument/2006/relationships/hyperlink" Target="https://chinesezerotohero.teachable.com/courses/301751/lectures/4834143" TargetMode="External"/><Relationship Id="rId463" Type="http://schemas.openxmlformats.org/officeDocument/2006/relationships/hyperlink" Target="https://chinesezerotohero.teachable.com/courses/302482/lectures/5157621" TargetMode="External"/><Relationship Id="rId584" Type="http://schemas.openxmlformats.org/officeDocument/2006/relationships/hyperlink" Target="https://chinesezerotohero.teachable.com/courses/302494/lectures/6282874" TargetMode="External"/><Relationship Id="rId217" Type="http://schemas.openxmlformats.org/officeDocument/2006/relationships/hyperlink" Target="https://chinesezerotohero.teachable.com/courses/281078/lectures/4422084" TargetMode="External"/><Relationship Id="rId338" Type="http://schemas.openxmlformats.org/officeDocument/2006/relationships/hyperlink" Target="https://chinesezerotohero.teachable.com/courses/301751/lectures/4834119" TargetMode="External"/><Relationship Id="rId459" Type="http://schemas.openxmlformats.org/officeDocument/2006/relationships/hyperlink" Target="https://chinesezerotohero.teachable.com/courses/302482/lectures/5157519" TargetMode="External"/><Relationship Id="rId216" Type="http://schemas.openxmlformats.org/officeDocument/2006/relationships/hyperlink" Target="https://chinesezerotohero.teachable.com/courses/281078/lectures/4422049" TargetMode="External"/><Relationship Id="rId337" Type="http://schemas.openxmlformats.org/officeDocument/2006/relationships/hyperlink" Target="https://chinesezerotohero.teachable.com/courses/301751/lectures/4834119" TargetMode="External"/><Relationship Id="rId458" Type="http://schemas.openxmlformats.org/officeDocument/2006/relationships/hyperlink" Target="https://chinesezerotohero.teachable.com/courses/302482/lectures/5157517" TargetMode="External"/><Relationship Id="rId579" Type="http://schemas.openxmlformats.org/officeDocument/2006/relationships/hyperlink" Target="https://chinesezerotohero.teachable.com/courses/302494/lectures/6144563" TargetMode="External"/><Relationship Id="rId215" Type="http://schemas.openxmlformats.org/officeDocument/2006/relationships/hyperlink" Target="https://chinesezerotohero.teachable.com/courses/281078/lectures/4422049" TargetMode="External"/><Relationship Id="rId336" Type="http://schemas.openxmlformats.org/officeDocument/2006/relationships/hyperlink" Target="https://chinesezerotohero.teachable.com/courses/301751/lectures/4834117" TargetMode="External"/><Relationship Id="rId457" Type="http://schemas.openxmlformats.org/officeDocument/2006/relationships/hyperlink" Target="https://chinesezerotohero.teachable.com/courses/302482/lectures/5157516" TargetMode="External"/><Relationship Id="rId578" Type="http://schemas.openxmlformats.org/officeDocument/2006/relationships/hyperlink" Target="https://chinesezerotohero.teachable.com/courses/302494/lectures/6144560" TargetMode="External"/><Relationship Id="rId214" Type="http://schemas.openxmlformats.org/officeDocument/2006/relationships/hyperlink" Target="https://chinesezerotohero.teachable.com/courses/281078/lectures/4422049" TargetMode="External"/><Relationship Id="rId335" Type="http://schemas.openxmlformats.org/officeDocument/2006/relationships/hyperlink" Target="https://chinesezerotohero.teachable.com/courses/301751/lectures/4834117" TargetMode="External"/><Relationship Id="rId456" Type="http://schemas.openxmlformats.org/officeDocument/2006/relationships/hyperlink" Target="https://chinesezerotohero.teachable.com/courses/302482/lectures/5157515" TargetMode="External"/><Relationship Id="rId577" Type="http://schemas.openxmlformats.org/officeDocument/2006/relationships/hyperlink" Target="https://chinesezerotohero.teachable.com/courses/302494/lectures/6144561" TargetMode="External"/><Relationship Id="rId219" Type="http://schemas.openxmlformats.org/officeDocument/2006/relationships/hyperlink" Target="https://chinesezerotohero.teachable.com/courses/281078/lectures/4422160" TargetMode="External"/><Relationship Id="rId218" Type="http://schemas.openxmlformats.org/officeDocument/2006/relationships/hyperlink" Target="https://chinesezerotohero.teachable.com/courses/281078/lectures/4422102" TargetMode="External"/><Relationship Id="rId339" Type="http://schemas.openxmlformats.org/officeDocument/2006/relationships/hyperlink" Target="https://chinesezerotohero.teachable.com/courses/301751/lectures/4834118" TargetMode="External"/><Relationship Id="rId330" Type="http://schemas.openxmlformats.org/officeDocument/2006/relationships/hyperlink" Target="https://chinesezerotohero.teachable.com/courses/299571/lectures/4606511" TargetMode="External"/><Relationship Id="rId451" Type="http://schemas.openxmlformats.org/officeDocument/2006/relationships/hyperlink" Target="https://chinesezerotohero.teachable.com/courses/302482/lectures/5157485" TargetMode="External"/><Relationship Id="rId572" Type="http://schemas.openxmlformats.org/officeDocument/2006/relationships/hyperlink" Target="https://chinesezerotohero.teachable.com/courses/302494/lectures/6125594" TargetMode="External"/><Relationship Id="rId450" Type="http://schemas.openxmlformats.org/officeDocument/2006/relationships/hyperlink" Target="https://chinesezerotohero.teachable.com/courses/302482/lectures/5157484" TargetMode="External"/><Relationship Id="rId571" Type="http://schemas.openxmlformats.org/officeDocument/2006/relationships/hyperlink" Target="https://chinesezerotohero.teachable.com/courses/302494/lectures/6125599" TargetMode="External"/><Relationship Id="rId570" Type="http://schemas.openxmlformats.org/officeDocument/2006/relationships/hyperlink" Target="https://chinesezerotohero.teachable.com/courses/302494/lectures/6125599" TargetMode="External"/><Relationship Id="rId213" Type="http://schemas.openxmlformats.org/officeDocument/2006/relationships/hyperlink" Target="https://chinesezerotohero.teachable.com/courses/281078/lectures/4422049" TargetMode="External"/><Relationship Id="rId334" Type="http://schemas.openxmlformats.org/officeDocument/2006/relationships/hyperlink" Target="https://chinesezerotohero.teachable.com/courses/301751/lectures/4834117" TargetMode="External"/><Relationship Id="rId455" Type="http://schemas.openxmlformats.org/officeDocument/2006/relationships/hyperlink" Target="https://chinesezerotohero.teachable.com/courses/302482/lectures/5157515" TargetMode="External"/><Relationship Id="rId576" Type="http://schemas.openxmlformats.org/officeDocument/2006/relationships/hyperlink" Target="https://chinesezerotohero.teachable.com/courses/302494/lectures/6125597" TargetMode="External"/><Relationship Id="rId212" Type="http://schemas.openxmlformats.org/officeDocument/2006/relationships/hyperlink" Target="https://chinesezerotohero.teachable.com/courses/281078/lectures/4422049" TargetMode="External"/><Relationship Id="rId333" Type="http://schemas.openxmlformats.org/officeDocument/2006/relationships/hyperlink" Target="https://chinesezerotohero.teachable.com/courses/301751/lectures/4834116" TargetMode="External"/><Relationship Id="rId454" Type="http://schemas.openxmlformats.org/officeDocument/2006/relationships/hyperlink" Target="https://chinesezerotohero.teachable.com/courses/302482/lectures/5157515" TargetMode="External"/><Relationship Id="rId575" Type="http://schemas.openxmlformats.org/officeDocument/2006/relationships/hyperlink" Target="https://chinesezerotohero.teachable.com/courses/302494/lectures/6125597" TargetMode="External"/><Relationship Id="rId211" Type="http://schemas.openxmlformats.org/officeDocument/2006/relationships/hyperlink" Target="https://chinesezerotohero.teachable.com/courses/281078/lectures/4422049" TargetMode="External"/><Relationship Id="rId332" Type="http://schemas.openxmlformats.org/officeDocument/2006/relationships/hyperlink" Target="https://chinesezerotohero.teachable.com/courses/301751/lectures/4834116" TargetMode="External"/><Relationship Id="rId453" Type="http://schemas.openxmlformats.org/officeDocument/2006/relationships/hyperlink" Target="https://chinesezerotohero.teachable.com/courses/302482/lectures/5157514" TargetMode="External"/><Relationship Id="rId574" Type="http://schemas.openxmlformats.org/officeDocument/2006/relationships/hyperlink" Target="https://chinesezerotohero.teachable.com/courses/302494/lectures/6125596" TargetMode="External"/><Relationship Id="rId210" Type="http://schemas.openxmlformats.org/officeDocument/2006/relationships/hyperlink" Target="https://chinesezerotohero.teachable.com/courses/281078/lectures/4422049" TargetMode="External"/><Relationship Id="rId331" Type="http://schemas.openxmlformats.org/officeDocument/2006/relationships/hyperlink" Target="https://chinesezerotohero.teachable.com/courses/301751/lectures/4834116" TargetMode="External"/><Relationship Id="rId452" Type="http://schemas.openxmlformats.org/officeDocument/2006/relationships/hyperlink" Target="https://chinesezerotohero.teachable.com/courses/302482/lectures/5157486" TargetMode="External"/><Relationship Id="rId573" Type="http://schemas.openxmlformats.org/officeDocument/2006/relationships/hyperlink" Target="https://chinesezerotohero.teachable.com/courses/302494/lectures/6125595" TargetMode="External"/><Relationship Id="rId370" Type="http://schemas.openxmlformats.org/officeDocument/2006/relationships/hyperlink" Target="https://chinesezerotohero.teachable.com/courses/302461/lectures/4914007" TargetMode="External"/><Relationship Id="rId491" Type="http://schemas.openxmlformats.org/officeDocument/2006/relationships/hyperlink" Target="https://chinesezerotohero.teachable.com/courses/302483/lectures/5517732" TargetMode="External"/><Relationship Id="rId490" Type="http://schemas.openxmlformats.org/officeDocument/2006/relationships/hyperlink" Target="https://chinesezerotohero.teachable.com/courses/302483/lectures/5517731" TargetMode="External"/><Relationship Id="rId129" Type="http://schemas.openxmlformats.org/officeDocument/2006/relationships/hyperlink" Target="https://chinesezerotohero.teachable.com/courses/182498/lectures/2763993" TargetMode="External"/><Relationship Id="rId128" Type="http://schemas.openxmlformats.org/officeDocument/2006/relationships/hyperlink" Target="https://chinesezerotohero.teachable.com/courses/182498/lectures/2763993" TargetMode="External"/><Relationship Id="rId249" Type="http://schemas.openxmlformats.org/officeDocument/2006/relationships/hyperlink" Target="https://chinesezerotohero.teachable.com/courses/292789/lectures/4505533" TargetMode="External"/><Relationship Id="rId127" Type="http://schemas.openxmlformats.org/officeDocument/2006/relationships/hyperlink" Target="https://chinesezerotohero.teachable.com/courses/182498/lectures/2763993" TargetMode="External"/><Relationship Id="rId248" Type="http://schemas.openxmlformats.org/officeDocument/2006/relationships/hyperlink" Target="https://chinesezerotohero.teachable.com/courses/292789/lectures/4505534" TargetMode="External"/><Relationship Id="rId369" Type="http://schemas.openxmlformats.org/officeDocument/2006/relationships/hyperlink" Target="https://chinesezerotohero.teachable.com/courses/301751/lectures/4852540" TargetMode="External"/><Relationship Id="rId126" Type="http://schemas.openxmlformats.org/officeDocument/2006/relationships/hyperlink" Target="https://chinesezerotohero.teachable.com/courses/182498/lectures/2763993" TargetMode="External"/><Relationship Id="rId247" Type="http://schemas.openxmlformats.org/officeDocument/2006/relationships/hyperlink" Target="https://chinesezerotohero.teachable.com/courses/281078/lectures/4423240" TargetMode="External"/><Relationship Id="rId368" Type="http://schemas.openxmlformats.org/officeDocument/2006/relationships/hyperlink" Target="https://chinesezerotohero.teachable.com/courses/301751/lectures/4852537" TargetMode="External"/><Relationship Id="rId489" Type="http://schemas.openxmlformats.org/officeDocument/2006/relationships/hyperlink" Target="https://chinesezerotohero.teachable.com/courses/302483/lectures/5517730" TargetMode="External"/><Relationship Id="rId121" Type="http://schemas.openxmlformats.org/officeDocument/2006/relationships/hyperlink" Target="https://chinesezerotohero.teachable.com/courses/182498/lectures/2763802" TargetMode="External"/><Relationship Id="rId242" Type="http://schemas.openxmlformats.org/officeDocument/2006/relationships/hyperlink" Target="https://chinesezerotohero.teachable.com/courses/281078/lectures/4423230" TargetMode="External"/><Relationship Id="rId363" Type="http://schemas.openxmlformats.org/officeDocument/2006/relationships/hyperlink" Target="https://chinesezerotohero.teachable.com/courses/301751/lectures/4852539" TargetMode="External"/><Relationship Id="rId484" Type="http://schemas.openxmlformats.org/officeDocument/2006/relationships/hyperlink" Target="https://chinesezerotohero.teachable.com/courses/302483/lectures/5517728" TargetMode="External"/><Relationship Id="rId120" Type="http://schemas.openxmlformats.org/officeDocument/2006/relationships/hyperlink" Target="https://chinesezerotohero.teachable.com/courses/191830/lectures/2949116" TargetMode="External"/><Relationship Id="rId241" Type="http://schemas.openxmlformats.org/officeDocument/2006/relationships/hyperlink" Target="https://chinesezerotohero.teachable.com/courses/281078/lectures/4423230" TargetMode="External"/><Relationship Id="rId362" Type="http://schemas.openxmlformats.org/officeDocument/2006/relationships/hyperlink" Target="https://chinesezerotohero.teachable.com/courses/301751/lectures/4852541" TargetMode="External"/><Relationship Id="rId483" Type="http://schemas.openxmlformats.org/officeDocument/2006/relationships/hyperlink" Target="https://chinesezerotohero.teachable.com/courses/302483/lectures/5517725" TargetMode="External"/><Relationship Id="rId240" Type="http://schemas.openxmlformats.org/officeDocument/2006/relationships/hyperlink" Target="https://chinesezerotohero.teachable.com/courses/281078/lectures/4423226" TargetMode="External"/><Relationship Id="rId361" Type="http://schemas.openxmlformats.org/officeDocument/2006/relationships/hyperlink" Target="https://chinesezerotohero.teachable.com/courses/301751/lectures/4852518" TargetMode="External"/><Relationship Id="rId482" Type="http://schemas.openxmlformats.org/officeDocument/2006/relationships/hyperlink" Target="https://chinesezerotohero.teachable.com/courses/302483/lectures/5517725" TargetMode="External"/><Relationship Id="rId360" Type="http://schemas.openxmlformats.org/officeDocument/2006/relationships/hyperlink" Target="https://chinesezerotohero.teachable.com/courses/301751/lectures/4852515" TargetMode="External"/><Relationship Id="rId481" Type="http://schemas.openxmlformats.org/officeDocument/2006/relationships/hyperlink" Target="https://chinesezerotohero.teachable.com/courses/302483/lectures/5517726" TargetMode="External"/><Relationship Id="rId125" Type="http://schemas.openxmlformats.org/officeDocument/2006/relationships/hyperlink" Target="https://chinesezerotohero.teachable.com/courses/182498/lectures/2763990" TargetMode="External"/><Relationship Id="rId246" Type="http://schemas.openxmlformats.org/officeDocument/2006/relationships/hyperlink" Target="https://chinesezerotohero.teachable.com/courses/281078/lectures/4423240" TargetMode="External"/><Relationship Id="rId367" Type="http://schemas.openxmlformats.org/officeDocument/2006/relationships/hyperlink" Target="https://chinesezerotohero.teachable.com/courses/301751/lectures/4852537" TargetMode="External"/><Relationship Id="rId488" Type="http://schemas.openxmlformats.org/officeDocument/2006/relationships/hyperlink" Target="https://chinesezerotohero.teachable.com/courses/302483/lectures/5517734" TargetMode="External"/><Relationship Id="rId124" Type="http://schemas.openxmlformats.org/officeDocument/2006/relationships/hyperlink" Target="https://chinesezerotohero.teachable.com/courses/182498/lectures/2763809" TargetMode="External"/><Relationship Id="rId245" Type="http://schemas.openxmlformats.org/officeDocument/2006/relationships/hyperlink" Target="https://chinesezerotohero.teachable.com/courses/281078/lectures/4423240" TargetMode="External"/><Relationship Id="rId366" Type="http://schemas.openxmlformats.org/officeDocument/2006/relationships/hyperlink" Target="https://chinesezerotohero.teachable.com/courses/301751/lectures/4852537" TargetMode="External"/><Relationship Id="rId487" Type="http://schemas.openxmlformats.org/officeDocument/2006/relationships/hyperlink" Target="https://chinesezerotohero.teachable.com/courses/302483/lectures/5517734" TargetMode="External"/><Relationship Id="rId123" Type="http://schemas.openxmlformats.org/officeDocument/2006/relationships/hyperlink" Target="https://chinesezerotohero.teachable.com/courses/182498/lectures/2763809" TargetMode="External"/><Relationship Id="rId244" Type="http://schemas.openxmlformats.org/officeDocument/2006/relationships/hyperlink" Target="https://chinesezerotohero.teachable.com/courses/281078/lectures/4423233" TargetMode="External"/><Relationship Id="rId365" Type="http://schemas.openxmlformats.org/officeDocument/2006/relationships/hyperlink" Target="https://chinesezerotohero.teachable.com/courses/301751/lectures/4852538" TargetMode="External"/><Relationship Id="rId486" Type="http://schemas.openxmlformats.org/officeDocument/2006/relationships/hyperlink" Target="https://chinesezerotohero.teachable.com/courses/302483/lectures/5517729" TargetMode="External"/><Relationship Id="rId122" Type="http://schemas.openxmlformats.org/officeDocument/2006/relationships/hyperlink" Target="https://chinesezerotohero.teachable.com/courses/182498/lectures/2763808" TargetMode="External"/><Relationship Id="rId243" Type="http://schemas.openxmlformats.org/officeDocument/2006/relationships/hyperlink" Target="https://chinesezerotohero.teachable.com/courses/281078/lectures/4423230" TargetMode="External"/><Relationship Id="rId364" Type="http://schemas.openxmlformats.org/officeDocument/2006/relationships/hyperlink" Target="https://chinesezerotohero.teachable.com/courses/301751/lectures/4852539" TargetMode="External"/><Relationship Id="rId485" Type="http://schemas.openxmlformats.org/officeDocument/2006/relationships/hyperlink" Target="https://chinesezerotohero.teachable.com/courses/302483/lectures/5517729" TargetMode="External"/><Relationship Id="rId95" Type="http://schemas.openxmlformats.org/officeDocument/2006/relationships/hyperlink" Target="https://chinesezerotohero.teachable.com/courses/191830/lectures/2949092" TargetMode="External"/><Relationship Id="rId94" Type="http://schemas.openxmlformats.org/officeDocument/2006/relationships/hyperlink" Target="https://chinesezerotohero.teachable.com/courses/191818/lectures/2949059" TargetMode="External"/><Relationship Id="rId97" Type="http://schemas.openxmlformats.org/officeDocument/2006/relationships/hyperlink" Target="https://chinesezerotohero.teachable.com/courses/191830/lectures/2949088" TargetMode="External"/><Relationship Id="rId96" Type="http://schemas.openxmlformats.org/officeDocument/2006/relationships/hyperlink" Target="https://chinesezerotohero.teachable.com/courses/191830/lectures/2949092" TargetMode="External"/><Relationship Id="rId99" Type="http://schemas.openxmlformats.org/officeDocument/2006/relationships/hyperlink" Target="https://chinesezerotohero.teachable.com/courses/191830/lectures/2949093" TargetMode="External"/><Relationship Id="rId480" Type="http://schemas.openxmlformats.org/officeDocument/2006/relationships/hyperlink" Target="https://chinesezerotohero.teachable.com/courses/302483/lectures/5517726" TargetMode="External"/><Relationship Id="rId98" Type="http://schemas.openxmlformats.org/officeDocument/2006/relationships/hyperlink" Target="https://chinesezerotohero.teachable.com/courses/191830/lectures/2949090" TargetMode="External"/><Relationship Id="rId91" Type="http://schemas.openxmlformats.org/officeDocument/2006/relationships/hyperlink" Target="https://chinesezerotohero.teachable.com/courses/191818/lectures/2949056" TargetMode="External"/><Relationship Id="rId90" Type="http://schemas.openxmlformats.org/officeDocument/2006/relationships/hyperlink" Target="https://chinesezerotohero.teachable.com/courses/191818/lectures/2949056" TargetMode="External"/><Relationship Id="rId93" Type="http://schemas.openxmlformats.org/officeDocument/2006/relationships/hyperlink" Target="https://chinesezerotohero.teachable.com/courses/191818/lectures/2949059" TargetMode="External"/><Relationship Id="rId92" Type="http://schemas.openxmlformats.org/officeDocument/2006/relationships/hyperlink" Target="https://chinesezerotohero.teachable.com/courses/191818/lectures/2949058" TargetMode="External"/><Relationship Id="rId118" Type="http://schemas.openxmlformats.org/officeDocument/2006/relationships/hyperlink" Target="https://chinesezerotohero.teachable.com/courses/191830/lectures/2949112" TargetMode="External"/><Relationship Id="rId239" Type="http://schemas.openxmlformats.org/officeDocument/2006/relationships/hyperlink" Target="https://chinesezerotohero.teachable.com/courses/281078/lectures/4423226" TargetMode="External"/><Relationship Id="rId117" Type="http://schemas.openxmlformats.org/officeDocument/2006/relationships/hyperlink" Target="https://chinesezerotohero.teachable.com/courses/191830/lectures/2949112" TargetMode="External"/><Relationship Id="rId238" Type="http://schemas.openxmlformats.org/officeDocument/2006/relationships/hyperlink" Target="https://chinesezerotohero.teachable.com/courses/281078/lectures/4423222" TargetMode="External"/><Relationship Id="rId359" Type="http://schemas.openxmlformats.org/officeDocument/2006/relationships/hyperlink" Target="https://chinesezerotohero.teachable.com/courses/301751/lectures/4852516" TargetMode="External"/><Relationship Id="rId116" Type="http://schemas.openxmlformats.org/officeDocument/2006/relationships/hyperlink" Target="https://chinesezerotohero.teachable.com/courses/191830/lectures/2949113" TargetMode="External"/><Relationship Id="rId237" Type="http://schemas.openxmlformats.org/officeDocument/2006/relationships/hyperlink" Target="https://chinesezerotohero.teachable.com/courses/281078/lectures/4423222" TargetMode="External"/><Relationship Id="rId358" Type="http://schemas.openxmlformats.org/officeDocument/2006/relationships/hyperlink" Target="https://chinesezerotohero.teachable.com/courses/301751/lectures/4852514" TargetMode="External"/><Relationship Id="rId479" Type="http://schemas.openxmlformats.org/officeDocument/2006/relationships/hyperlink" Target="https://chinesezerotohero.teachable.com/courses/302483/lectures/5517727" TargetMode="External"/><Relationship Id="rId115" Type="http://schemas.openxmlformats.org/officeDocument/2006/relationships/hyperlink" Target="https://chinesezerotohero.teachable.com/courses/191830/lectures/2949111" TargetMode="External"/><Relationship Id="rId236" Type="http://schemas.openxmlformats.org/officeDocument/2006/relationships/hyperlink" Target="https://chinesezerotohero.teachable.com/courses/281078/lectures/4423222" TargetMode="External"/><Relationship Id="rId357" Type="http://schemas.openxmlformats.org/officeDocument/2006/relationships/hyperlink" Target="https://chinesezerotohero.teachable.com/courses/301751/lectures/4852513" TargetMode="External"/><Relationship Id="rId478" Type="http://schemas.openxmlformats.org/officeDocument/2006/relationships/hyperlink" Target="https://chinesezerotohero.teachable.com/courses/302483/lectures/5517724" TargetMode="External"/><Relationship Id="rId599" Type="http://schemas.openxmlformats.org/officeDocument/2006/relationships/hyperlink" Target="https://chinesezerotohero.teachable.com/courses/302494/lectures/6282885" TargetMode="External"/><Relationship Id="rId119" Type="http://schemas.openxmlformats.org/officeDocument/2006/relationships/hyperlink" Target="https://chinesezerotohero.teachable.com/courses/191830/lectures/2949117" TargetMode="External"/><Relationship Id="rId110" Type="http://schemas.openxmlformats.org/officeDocument/2006/relationships/hyperlink" Target="https://chinesezerotohero.teachable.com/courses/191830/lectures/2949107" TargetMode="External"/><Relationship Id="rId231" Type="http://schemas.openxmlformats.org/officeDocument/2006/relationships/hyperlink" Target="https://chinesezerotohero.teachable.com/courses/281078/lectures/4423168" TargetMode="External"/><Relationship Id="rId352" Type="http://schemas.openxmlformats.org/officeDocument/2006/relationships/hyperlink" Target="https://chinesezerotohero.teachable.com/courses/301751/lectures/4852499" TargetMode="External"/><Relationship Id="rId473" Type="http://schemas.openxmlformats.org/officeDocument/2006/relationships/hyperlink" Target="https://chinesezerotohero.teachable.com/courses/302482/lectures/5157799" TargetMode="External"/><Relationship Id="rId594" Type="http://schemas.openxmlformats.org/officeDocument/2006/relationships/hyperlink" Target="https://chinesezerotohero.teachable.com/courses/302494/lectures/6282880" TargetMode="External"/><Relationship Id="rId230" Type="http://schemas.openxmlformats.org/officeDocument/2006/relationships/hyperlink" Target="https://chinesezerotohero.teachable.com/courses/281078/lectures/4423168" TargetMode="External"/><Relationship Id="rId351" Type="http://schemas.openxmlformats.org/officeDocument/2006/relationships/hyperlink" Target="https://chinesezerotohero.teachable.com/courses/301751/lectures/4852498" TargetMode="External"/><Relationship Id="rId472" Type="http://schemas.openxmlformats.org/officeDocument/2006/relationships/hyperlink" Target="https://chinesezerotohero.teachable.com/courses/302482/lectures/5157639" TargetMode="External"/><Relationship Id="rId593" Type="http://schemas.openxmlformats.org/officeDocument/2006/relationships/hyperlink" Target="https://chinesezerotohero.teachable.com/courses/302494/lectures/6282879" TargetMode="External"/><Relationship Id="rId350" Type="http://schemas.openxmlformats.org/officeDocument/2006/relationships/hyperlink" Target="https://chinesezerotohero.teachable.com/courses/301751/lectures/4834146" TargetMode="External"/><Relationship Id="rId471" Type="http://schemas.openxmlformats.org/officeDocument/2006/relationships/hyperlink" Target="https://chinesezerotohero.teachable.com/courses/302482/lectures/5157638" TargetMode="External"/><Relationship Id="rId592" Type="http://schemas.openxmlformats.org/officeDocument/2006/relationships/hyperlink" Target="https://chinesezerotohero.teachable.com/courses/302494/lectures/6282881" TargetMode="External"/><Relationship Id="rId470" Type="http://schemas.openxmlformats.org/officeDocument/2006/relationships/hyperlink" Target="https://chinesezerotohero.teachable.com/courses/302482/lectures/5157638" TargetMode="External"/><Relationship Id="rId591" Type="http://schemas.openxmlformats.org/officeDocument/2006/relationships/hyperlink" Target="https://chinesezerotohero.teachable.com/courses/302494/lectures/6282881" TargetMode="External"/><Relationship Id="rId114" Type="http://schemas.openxmlformats.org/officeDocument/2006/relationships/hyperlink" Target="https://chinesezerotohero.teachable.com/courses/191830/lectures/2949111" TargetMode="External"/><Relationship Id="rId235" Type="http://schemas.openxmlformats.org/officeDocument/2006/relationships/hyperlink" Target="https://chinesezerotohero.teachable.com/courses/281078/lectures/4423210" TargetMode="External"/><Relationship Id="rId356" Type="http://schemas.openxmlformats.org/officeDocument/2006/relationships/hyperlink" Target="https://chinesezerotohero.teachable.com/courses/301751/lectures/4852500" TargetMode="External"/><Relationship Id="rId477" Type="http://schemas.openxmlformats.org/officeDocument/2006/relationships/hyperlink" Target="https://chinesezerotohero.teachable.com/courses/302483/lectures/5517724" TargetMode="External"/><Relationship Id="rId598" Type="http://schemas.openxmlformats.org/officeDocument/2006/relationships/hyperlink" Target="https://chinesezerotohero.teachable.com/courses/302494/lectures/6282885" TargetMode="External"/><Relationship Id="rId113" Type="http://schemas.openxmlformats.org/officeDocument/2006/relationships/hyperlink" Target="https://chinesezerotohero.teachable.com/courses/191830/lectures/2949106" TargetMode="External"/><Relationship Id="rId234" Type="http://schemas.openxmlformats.org/officeDocument/2006/relationships/hyperlink" Target="https://chinesezerotohero.teachable.com/courses/281078/lectures/4423204" TargetMode="External"/><Relationship Id="rId355" Type="http://schemas.openxmlformats.org/officeDocument/2006/relationships/hyperlink" Target="https://chinesezerotohero.teachable.com/courses/301751/lectures/4852501" TargetMode="External"/><Relationship Id="rId476" Type="http://schemas.openxmlformats.org/officeDocument/2006/relationships/hyperlink" Target="https://chinesezerotohero.teachable.com/courses/302483/lectures/5517723" TargetMode="External"/><Relationship Id="rId597" Type="http://schemas.openxmlformats.org/officeDocument/2006/relationships/hyperlink" Target="https://chinesezerotohero.teachable.com/courses/302494/lectures/6282884" TargetMode="External"/><Relationship Id="rId112" Type="http://schemas.openxmlformats.org/officeDocument/2006/relationships/hyperlink" Target="https://chinesezerotohero.teachable.com/courses/191830/lectures/2949108" TargetMode="External"/><Relationship Id="rId233" Type="http://schemas.openxmlformats.org/officeDocument/2006/relationships/hyperlink" Target="https://chinesezerotohero.teachable.com/courses/281078/lectures/4423171" TargetMode="External"/><Relationship Id="rId354" Type="http://schemas.openxmlformats.org/officeDocument/2006/relationships/hyperlink" Target="https://chinesezerotohero.teachable.com/courses/301751/lectures/4852506" TargetMode="External"/><Relationship Id="rId475" Type="http://schemas.openxmlformats.org/officeDocument/2006/relationships/hyperlink" Target="https://chinesezerotohero.teachable.com/courses/302482/lectures/5157801" TargetMode="External"/><Relationship Id="rId596" Type="http://schemas.openxmlformats.org/officeDocument/2006/relationships/hyperlink" Target="https://chinesezerotohero.teachable.com/courses/302494/lectures/6282883" TargetMode="External"/><Relationship Id="rId111" Type="http://schemas.openxmlformats.org/officeDocument/2006/relationships/hyperlink" Target="https://chinesezerotohero.teachable.com/courses/191830/lectures/2949107" TargetMode="External"/><Relationship Id="rId232" Type="http://schemas.openxmlformats.org/officeDocument/2006/relationships/hyperlink" Target="https://chinesezerotohero.teachable.com/courses/281078/lectures/4423168" TargetMode="External"/><Relationship Id="rId353" Type="http://schemas.openxmlformats.org/officeDocument/2006/relationships/hyperlink" Target="https://chinesezerotohero.teachable.com/courses/301751/lectures/4852506" TargetMode="External"/><Relationship Id="rId474" Type="http://schemas.openxmlformats.org/officeDocument/2006/relationships/hyperlink" Target="https://chinesezerotohero.teachable.com/courses/302482/lectures/5157800" TargetMode="External"/><Relationship Id="rId595" Type="http://schemas.openxmlformats.org/officeDocument/2006/relationships/hyperlink" Target="https://chinesezerotohero.teachable.com/courses/302494/lectures/6282882" TargetMode="External"/><Relationship Id="rId305" Type="http://schemas.openxmlformats.org/officeDocument/2006/relationships/hyperlink" Target="https://chinesezerotohero.teachable.com/courses/299571/lectures/4606471" TargetMode="External"/><Relationship Id="rId426" Type="http://schemas.openxmlformats.org/officeDocument/2006/relationships/hyperlink" Target="https://chinesezerotohero.teachable.com/courses/302461/lectures/5044282" TargetMode="External"/><Relationship Id="rId547" Type="http://schemas.openxmlformats.org/officeDocument/2006/relationships/hyperlink" Target="https://chinesezerotohero.teachable.com/courses/302490/lectures/5607743" TargetMode="External"/><Relationship Id="rId668" Type="http://schemas.openxmlformats.org/officeDocument/2006/relationships/hyperlink" Target="https://chinesezerotohero.teachable.com/courses/302506/lectures/8517078" TargetMode="External"/><Relationship Id="rId304" Type="http://schemas.openxmlformats.org/officeDocument/2006/relationships/hyperlink" Target="https://chinesezerotohero.teachable.com/courses/299571/lectures/4606472" TargetMode="External"/><Relationship Id="rId425" Type="http://schemas.openxmlformats.org/officeDocument/2006/relationships/hyperlink" Target="https://chinesezerotohero.teachable.com/courses/302461/lectures/5044282" TargetMode="External"/><Relationship Id="rId546" Type="http://schemas.openxmlformats.org/officeDocument/2006/relationships/hyperlink" Target="https://chinesezerotohero.teachable.com/courses/302490/lectures/5607743" TargetMode="External"/><Relationship Id="rId667" Type="http://schemas.openxmlformats.org/officeDocument/2006/relationships/hyperlink" Target="https://chinesezerotohero.teachable.com/courses/302506/lectures/8514497" TargetMode="External"/><Relationship Id="rId303" Type="http://schemas.openxmlformats.org/officeDocument/2006/relationships/hyperlink" Target="https://chinesezerotohero.teachable.com/courses/299571/lectures/4606474" TargetMode="External"/><Relationship Id="rId424" Type="http://schemas.openxmlformats.org/officeDocument/2006/relationships/hyperlink" Target="https://chinesezerotohero.teachable.com/courses/302461/lectures/5044281" TargetMode="External"/><Relationship Id="rId545" Type="http://schemas.openxmlformats.org/officeDocument/2006/relationships/hyperlink" Target="https://chinesezerotohero.teachable.com/courses/302490/lectures/5607742" TargetMode="External"/><Relationship Id="rId666" Type="http://schemas.openxmlformats.org/officeDocument/2006/relationships/hyperlink" Target="https://chinesezerotohero.teachable.com/courses/302506/lectures/8514276" TargetMode="External"/><Relationship Id="rId302" Type="http://schemas.openxmlformats.org/officeDocument/2006/relationships/hyperlink" Target="https://chinesezerotohero.teachable.com/courses/299571/lectures/4606474" TargetMode="External"/><Relationship Id="rId423" Type="http://schemas.openxmlformats.org/officeDocument/2006/relationships/hyperlink" Target="https://chinesezerotohero.teachable.com/courses/302461/lectures/5044281" TargetMode="External"/><Relationship Id="rId544" Type="http://schemas.openxmlformats.org/officeDocument/2006/relationships/hyperlink" Target="https://chinesezerotohero.teachable.com/courses/302490/lectures/5607741" TargetMode="External"/><Relationship Id="rId665" Type="http://schemas.openxmlformats.org/officeDocument/2006/relationships/hyperlink" Target="https://chinesezerotohero.teachable.com/courses/302506/lectures/8512641" TargetMode="External"/><Relationship Id="rId309" Type="http://schemas.openxmlformats.org/officeDocument/2006/relationships/hyperlink" Target="https://chinesezerotohero.teachable.com/courses/299571/lectures/4606491" TargetMode="External"/><Relationship Id="rId308" Type="http://schemas.openxmlformats.org/officeDocument/2006/relationships/hyperlink" Target="https://chinesezerotohero.teachable.com/courses/299571/lectures/4606473" TargetMode="External"/><Relationship Id="rId429" Type="http://schemas.openxmlformats.org/officeDocument/2006/relationships/hyperlink" Target="https://chinesezerotohero.teachable.com/courses/302461/lectures/5044298" TargetMode="External"/><Relationship Id="rId307" Type="http://schemas.openxmlformats.org/officeDocument/2006/relationships/hyperlink" Target="https://chinesezerotohero.teachable.com/courses/299571/lectures/4606476" TargetMode="External"/><Relationship Id="rId428" Type="http://schemas.openxmlformats.org/officeDocument/2006/relationships/hyperlink" Target="https://chinesezerotohero.teachable.com/courses/302461/lectures/5044298" TargetMode="External"/><Relationship Id="rId549" Type="http://schemas.openxmlformats.org/officeDocument/2006/relationships/hyperlink" Target="https://chinesezerotohero.teachable.com/courses/302490/lectures/5607745" TargetMode="External"/><Relationship Id="rId306" Type="http://schemas.openxmlformats.org/officeDocument/2006/relationships/hyperlink" Target="https://chinesezerotohero.teachable.com/courses/299571/lectures/4606476" TargetMode="External"/><Relationship Id="rId427" Type="http://schemas.openxmlformats.org/officeDocument/2006/relationships/hyperlink" Target="https://chinesezerotohero.teachable.com/courses/302461/lectures/5044282" TargetMode="External"/><Relationship Id="rId548" Type="http://schemas.openxmlformats.org/officeDocument/2006/relationships/hyperlink" Target="https://chinesezerotohero.teachable.com/courses/302490/lectures/5607744" TargetMode="External"/><Relationship Id="rId669" Type="http://schemas.openxmlformats.org/officeDocument/2006/relationships/hyperlink" Target="https://chinesezerotohero.teachable.com/courses/302506/lectures/8524441" TargetMode="External"/><Relationship Id="rId660" Type="http://schemas.openxmlformats.org/officeDocument/2006/relationships/hyperlink" Target="https://chinesezerotohero.teachable.com/courses/302506/lectures/8474050" TargetMode="External"/><Relationship Id="rId301" Type="http://schemas.openxmlformats.org/officeDocument/2006/relationships/hyperlink" Target="https://chinesezerotohero.teachable.com/courses/299571/lectures/4606474" TargetMode="External"/><Relationship Id="rId422" Type="http://schemas.openxmlformats.org/officeDocument/2006/relationships/hyperlink" Target="https://chinesezerotohero.teachable.com/courses/302461/lectures/5044280" TargetMode="External"/><Relationship Id="rId543" Type="http://schemas.openxmlformats.org/officeDocument/2006/relationships/hyperlink" Target="https://chinesezerotohero.teachable.com/courses/302490/lectures/5607741" TargetMode="External"/><Relationship Id="rId664" Type="http://schemas.openxmlformats.org/officeDocument/2006/relationships/hyperlink" Target="https://chinesezerotohero.teachable.com/courses/302506/lectures/8512597" TargetMode="External"/><Relationship Id="rId300" Type="http://schemas.openxmlformats.org/officeDocument/2006/relationships/hyperlink" Target="https://chinesezerotohero.teachable.com/courses/299571/lectures/4606456" TargetMode="External"/><Relationship Id="rId421" Type="http://schemas.openxmlformats.org/officeDocument/2006/relationships/hyperlink" Target="https://chinesezerotohero.teachable.com/courses/302461/lectures/5044279" TargetMode="External"/><Relationship Id="rId542" Type="http://schemas.openxmlformats.org/officeDocument/2006/relationships/hyperlink" Target="https://chinesezerotohero.teachable.com/courses/302490/lectures/5607740" TargetMode="External"/><Relationship Id="rId663" Type="http://schemas.openxmlformats.org/officeDocument/2006/relationships/hyperlink" Target="https://chinesezerotohero.teachable.com/courses/302506/lectures/8476018" TargetMode="External"/><Relationship Id="rId420" Type="http://schemas.openxmlformats.org/officeDocument/2006/relationships/hyperlink" Target="https://chinesezerotohero.teachable.com/courses/302461/lectures/5044279" TargetMode="External"/><Relationship Id="rId541" Type="http://schemas.openxmlformats.org/officeDocument/2006/relationships/hyperlink" Target="https://chinesezerotohero.teachable.com/courses/302490/lectures/5607738" TargetMode="External"/><Relationship Id="rId662" Type="http://schemas.openxmlformats.org/officeDocument/2006/relationships/hyperlink" Target="https://chinesezerotohero.teachable.com/courses/302506/lectures/8474340" TargetMode="External"/><Relationship Id="rId540" Type="http://schemas.openxmlformats.org/officeDocument/2006/relationships/hyperlink" Target="https://chinesezerotohero.teachable.com/courses/302490/lectures/5607739" TargetMode="External"/><Relationship Id="rId661" Type="http://schemas.openxmlformats.org/officeDocument/2006/relationships/hyperlink" Target="https://chinesezerotohero.teachable.com/courses/302506/lectures/8474239" TargetMode="External"/><Relationship Id="rId415" Type="http://schemas.openxmlformats.org/officeDocument/2006/relationships/hyperlink" Target="https://chinesezerotohero.teachable.com/courses/302461/lectures/5044277" TargetMode="External"/><Relationship Id="rId536" Type="http://schemas.openxmlformats.org/officeDocument/2006/relationships/hyperlink" Target="https://chinesezerotohero.teachable.com/courses/302490/lectures/5607735" TargetMode="External"/><Relationship Id="rId657" Type="http://schemas.openxmlformats.org/officeDocument/2006/relationships/hyperlink" Target="https://chinesezerotohero.teachable.com/courses/302506/lectures/8464774" TargetMode="External"/><Relationship Id="rId414" Type="http://schemas.openxmlformats.org/officeDocument/2006/relationships/hyperlink" Target="https://chinesezerotohero.teachable.com/courses/302461/lectures/5044277" TargetMode="External"/><Relationship Id="rId535" Type="http://schemas.openxmlformats.org/officeDocument/2006/relationships/hyperlink" Target="https://chinesezerotohero.teachable.com/courses/302490/lectures/5607734" TargetMode="External"/><Relationship Id="rId656" Type="http://schemas.openxmlformats.org/officeDocument/2006/relationships/hyperlink" Target="https://chinesezerotohero.teachable.com/courses/302506/lectures/8464400" TargetMode="External"/><Relationship Id="rId413" Type="http://schemas.openxmlformats.org/officeDocument/2006/relationships/hyperlink" Target="https://chinesezerotohero.teachable.com/courses/302461/lectures/5044277" TargetMode="External"/><Relationship Id="rId534" Type="http://schemas.openxmlformats.org/officeDocument/2006/relationships/hyperlink" Target="https://chinesezerotohero.teachable.com/courses/302490/lectures/5607734" TargetMode="External"/><Relationship Id="rId655" Type="http://schemas.openxmlformats.org/officeDocument/2006/relationships/hyperlink" Target="https://chinesezerotohero.teachable.com/courses/302506/lectures/8464396" TargetMode="External"/><Relationship Id="rId412" Type="http://schemas.openxmlformats.org/officeDocument/2006/relationships/hyperlink" Target="https://chinesezerotohero.teachable.com/courses/302461/lectures/5044277" TargetMode="External"/><Relationship Id="rId533" Type="http://schemas.openxmlformats.org/officeDocument/2006/relationships/hyperlink" Target="https://chinesezerotohero.teachable.com/courses/302490/lectures/5607734" TargetMode="External"/><Relationship Id="rId654" Type="http://schemas.openxmlformats.org/officeDocument/2006/relationships/hyperlink" Target="https://chinesezerotohero.teachable.com/courses/302505/lectures/8464345" TargetMode="External"/><Relationship Id="rId419" Type="http://schemas.openxmlformats.org/officeDocument/2006/relationships/hyperlink" Target="https://chinesezerotohero.teachable.com/courses/302461/lectures/5044279" TargetMode="External"/><Relationship Id="rId418" Type="http://schemas.openxmlformats.org/officeDocument/2006/relationships/hyperlink" Target="https://chinesezerotohero.teachable.com/courses/302461/lectures/5044276" TargetMode="External"/><Relationship Id="rId539" Type="http://schemas.openxmlformats.org/officeDocument/2006/relationships/hyperlink" Target="https://chinesezerotohero.teachable.com/courses/302490/lectures/5607737" TargetMode="External"/><Relationship Id="rId417" Type="http://schemas.openxmlformats.org/officeDocument/2006/relationships/hyperlink" Target="https://chinesezerotohero.teachable.com/courses/302461/lectures/5044275" TargetMode="External"/><Relationship Id="rId538" Type="http://schemas.openxmlformats.org/officeDocument/2006/relationships/hyperlink" Target="https://chinesezerotohero.teachable.com/courses/302490/lectures/5607736" TargetMode="External"/><Relationship Id="rId659" Type="http://schemas.openxmlformats.org/officeDocument/2006/relationships/hyperlink" Target="https://chinesezerotohero.teachable.com/courses/302506/lectures/8473267" TargetMode="External"/><Relationship Id="rId416" Type="http://schemas.openxmlformats.org/officeDocument/2006/relationships/hyperlink" Target="https://chinesezerotohero.teachable.com/courses/302461/lectures/5044275" TargetMode="External"/><Relationship Id="rId537" Type="http://schemas.openxmlformats.org/officeDocument/2006/relationships/hyperlink" Target="https://chinesezerotohero.teachable.com/courses/302490/lectures/5607736" TargetMode="External"/><Relationship Id="rId658" Type="http://schemas.openxmlformats.org/officeDocument/2006/relationships/hyperlink" Target="https://chinesezerotohero.teachable.com/courses/302506/lectures/8466873" TargetMode="External"/><Relationship Id="rId411" Type="http://schemas.openxmlformats.org/officeDocument/2006/relationships/hyperlink" Target="https://chinesezerotohero.teachable.com/courses/302461/lectures/5044274" TargetMode="External"/><Relationship Id="rId532" Type="http://schemas.openxmlformats.org/officeDocument/2006/relationships/hyperlink" Target="https://chinesezerotohero.teachable.com/courses/302490/lectures/5607734" TargetMode="External"/><Relationship Id="rId653" Type="http://schemas.openxmlformats.org/officeDocument/2006/relationships/hyperlink" Target="https://chinesezerotohero.teachable.com/courses/302505/lectures/8455704" TargetMode="External"/><Relationship Id="rId410" Type="http://schemas.openxmlformats.org/officeDocument/2006/relationships/hyperlink" Target="https://chinesezerotohero.teachable.com/courses/302461/lectures/5044274" TargetMode="External"/><Relationship Id="rId531" Type="http://schemas.openxmlformats.org/officeDocument/2006/relationships/hyperlink" Target="https://chinesezerotohero.teachable.com/courses/302490/lectures/5607734" TargetMode="External"/><Relationship Id="rId652" Type="http://schemas.openxmlformats.org/officeDocument/2006/relationships/hyperlink" Target="https://chinesezerotohero.teachable.com/courses/302505/lectures/8455699" TargetMode="External"/><Relationship Id="rId530" Type="http://schemas.openxmlformats.org/officeDocument/2006/relationships/hyperlink" Target="https://chinesezerotohero.teachable.com/courses/302490/lectures/5607733" TargetMode="External"/><Relationship Id="rId651" Type="http://schemas.openxmlformats.org/officeDocument/2006/relationships/hyperlink" Target="https://chinesezerotohero.teachable.com/courses/302505/lectures/8421662" TargetMode="External"/><Relationship Id="rId650" Type="http://schemas.openxmlformats.org/officeDocument/2006/relationships/hyperlink" Target="https://chinesezerotohero.teachable.com/courses/302505/lectures/8421528" TargetMode="External"/><Relationship Id="rId206" Type="http://schemas.openxmlformats.org/officeDocument/2006/relationships/hyperlink" Target="https://chinesezerotohero.teachable.com/courses/281078/lectures/4332387" TargetMode="External"/><Relationship Id="rId327" Type="http://schemas.openxmlformats.org/officeDocument/2006/relationships/hyperlink" Target="https://chinesezerotohero.teachable.com/courses/299571/lectures/4606509" TargetMode="External"/><Relationship Id="rId448" Type="http://schemas.openxmlformats.org/officeDocument/2006/relationships/hyperlink" Target="https://chinesezerotohero.teachable.com/courses/302482/lectures/5157510" TargetMode="External"/><Relationship Id="rId569" Type="http://schemas.openxmlformats.org/officeDocument/2006/relationships/hyperlink" Target="https://chinesezerotohero.teachable.com/courses/302494/lectures/6125593" TargetMode="External"/><Relationship Id="rId205" Type="http://schemas.openxmlformats.org/officeDocument/2006/relationships/hyperlink" Target="https://chinesezerotohero.teachable.com/courses/281078/lectures/4332378" TargetMode="External"/><Relationship Id="rId326" Type="http://schemas.openxmlformats.org/officeDocument/2006/relationships/hyperlink" Target="https://chinesezerotohero.teachable.com/courses/299571/lectures/4606509" TargetMode="External"/><Relationship Id="rId447" Type="http://schemas.openxmlformats.org/officeDocument/2006/relationships/hyperlink" Target="https://chinesezerotohero.teachable.com/courses/302482/lectures/5157449" TargetMode="External"/><Relationship Id="rId568" Type="http://schemas.openxmlformats.org/officeDocument/2006/relationships/hyperlink" Target="https://chinesezerotohero.teachable.com/courses/302494/lectures/6125593" TargetMode="External"/><Relationship Id="rId204" Type="http://schemas.openxmlformats.org/officeDocument/2006/relationships/hyperlink" Target="https://chinesezerotohero.teachable.com/courses/281078/lectures/4332378" TargetMode="External"/><Relationship Id="rId325" Type="http://schemas.openxmlformats.org/officeDocument/2006/relationships/hyperlink" Target="https://chinesezerotohero.teachable.com/courses/299571/lectures/4606509" TargetMode="External"/><Relationship Id="rId446" Type="http://schemas.openxmlformats.org/officeDocument/2006/relationships/hyperlink" Target="https://chinesezerotohero.teachable.com/courses/302482/lectures/5157449" TargetMode="External"/><Relationship Id="rId567" Type="http://schemas.openxmlformats.org/officeDocument/2006/relationships/hyperlink" Target="https://chinesezerotohero.teachable.com/courses/302494/lectures/6110312" TargetMode="External"/><Relationship Id="rId203" Type="http://schemas.openxmlformats.org/officeDocument/2006/relationships/hyperlink" Target="https://chinesezerotohero.teachable.com/courses/281078/lectures/4332378" TargetMode="External"/><Relationship Id="rId324" Type="http://schemas.openxmlformats.org/officeDocument/2006/relationships/hyperlink" Target="https://chinesezerotohero.teachable.com/courses/299571/lectures/4606509" TargetMode="External"/><Relationship Id="rId445" Type="http://schemas.openxmlformats.org/officeDocument/2006/relationships/hyperlink" Target="https://chinesezerotohero.teachable.com/courses/302482/lectures/5157449" TargetMode="External"/><Relationship Id="rId566" Type="http://schemas.openxmlformats.org/officeDocument/2006/relationships/hyperlink" Target="https://chinesezerotohero.teachable.com/courses/302494/lectures/6103028" TargetMode="External"/><Relationship Id="rId209" Type="http://schemas.openxmlformats.org/officeDocument/2006/relationships/hyperlink" Target="https://chinesezerotohero.teachable.com/courses/281078/lectures/4421985" TargetMode="External"/><Relationship Id="rId208" Type="http://schemas.openxmlformats.org/officeDocument/2006/relationships/hyperlink" Target="https://chinesezerotohero.teachable.com/courses/281078/lectures/4421985" TargetMode="External"/><Relationship Id="rId329" Type="http://schemas.openxmlformats.org/officeDocument/2006/relationships/hyperlink" Target="https://chinesezerotohero.teachable.com/courses/299571/lectures/4606510" TargetMode="External"/><Relationship Id="rId207" Type="http://schemas.openxmlformats.org/officeDocument/2006/relationships/hyperlink" Target="https://chinesezerotohero.teachable.com/courses/281078/lectures/4332388" TargetMode="External"/><Relationship Id="rId328" Type="http://schemas.openxmlformats.org/officeDocument/2006/relationships/hyperlink" Target="https://chinesezerotohero.teachable.com/courses/299571/lectures/4606510" TargetMode="External"/><Relationship Id="rId449" Type="http://schemas.openxmlformats.org/officeDocument/2006/relationships/hyperlink" Target="https://chinesezerotohero.teachable.com/courses/302482/lectures/5157511" TargetMode="External"/><Relationship Id="rId440" Type="http://schemas.openxmlformats.org/officeDocument/2006/relationships/hyperlink" Target="https://chinesezerotohero.teachable.com/courses/302482/lectures/5157448" TargetMode="External"/><Relationship Id="rId561" Type="http://schemas.openxmlformats.org/officeDocument/2006/relationships/hyperlink" Target="https://chinesezerotohero.teachable.com/courses/302490/lectures/5607750" TargetMode="External"/><Relationship Id="rId560" Type="http://schemas.openxmlformats.org/officeDocument/2006/relationships/hyperlink" Target="https://chinesezerotohero.teachable.com/courses/302490/lectures/5607749" TargetMode="External"/><Relationship Id="rId202" Type="http://schemas.openxmlformats.org/officeDocument/2006/relationships/hyperlink" Target="https://chinesezerotohero.teachable.com/courses/281078/lectures/4332374" TargetMode="External"/><Relationship Id="rId323" Type="http://schemas.openxmlformats.org/officeDocument/2006/relationships/hyperlink" Target="https://chinesezerotohero.teachable.com/courses/299571/lectures/4606509" TargetMode="External"/><Relationship Id="rId444" Type="http://schemas.openxmlformats.org/officeDocument/2006/relationships/hyperlink" Target="https://chinesezerotohero.teachable.com/courses/302482/lectures/5157447" TargetMode="External"/><Relationship Id="rId565" Type="http://schemas.openxmlformats.org/officeDocument/2006/relationships/hyperlink" Target="https://chinesezerotohero.teachable.com/courses/302494/lectures/6103029" TargetMode="External"/><Relationship Id="rId201" Type="http://schemas.openxmlformats.org/officeDocument/2006/relationships/hyperlink" Target="https://chinesezerotohero.teachable.com/courses/281078/lectures/4332374" TargetMode="External"/><Relationship Id="rId322" Type="http://schemas.openxmlformats.org/officeDocument/2006/relationships/hyperlink" Target="https://chinesezerotohero.teachable.com/courses/299571/lectures/4606508" TargetMode="External"/><Relationship Id="rId443" Type="http://schemas.openxmlformats.org/officeDocument/2006/relationships/hyperlink" Target="https://chinesezerotohero.teachable.com/courses/302482/lectures/5157447" TargetMode="External"/><Relationship Id="rId564" Type="http://schemas.openxmlformats.org/officeDocument/2006/relationships/hyperlink" Target="https://chinesezerotohero.teachable.com/courses/302494/lectures/6103030" TargetMode="External"/><Relationship Id="rId200" Type="http://schemas.openxmlformats.org/officeDocument/2006/relationships/hyperlink" Target="https://chinesezerotohero.teachable.com/courses/281078/lectures/4332370" TargetMode="External"/><Relationship Id="rId321" Type="http://schemas.openxmlformats.org/officeDocument/2006/relationships/hyperlink" Target="https://chinesezerotohero.teachable.com/courses/299571/lectures/4606508" TargetMode="External"/><Relationship Id="rId442" Type="http://schemas.openxmlformats.org/officeDocument/2006/relationships/hyperlink" Target="https://chinesezerotohero.teachable.com/courses/302482/lectures/5157447" TargetMode="External"/><Relationship Id="rId563" Type="http://schemas.openxmlformats.org/officeDocument/2006/relationships/hyperlink" Target="https://chinesezerotohero.teachable.com/courses/302494/lectures/6103027" TargetMode="External"/><Relationship Id="rId320" Type="http://schemas.openxmlformats.org/officeDocument/2006/relationships/hyperlink" Target="https://chinesezerotohero.teachable.com/courses/299571/lectures/4606516" TargetMode="External"/><Relationship Id="rId441" Type="http://schemas.openxmlformats.org/officeDocument/2006/relationships/hyperlink" Target="https://chinesezerotohero.teachable.com/courses/302482/lectures/5157447" TargetMode="External"/><Relationship Id="rId562" Type="http://schemas.openxmlformats.org/officeDocument/2006/relationships/hyperlink" Target="https://chinesezerotohero.teachable.com/courses/302494/lectures/6103026" TargetMode="External"/><Relationship Id="rId316" Type="http://schemas.openxmlformats.org/officeDocument/2006/relationships/hyperlink" Target="https://chinesezerotohero.teachable.com/courses/299571/lectures/4606495" TargetMode="External"/><Relationship Id="rId437" Type="http://schemas.openxmlformats.org/officeDocument/2006/relationships/hyperlink" Target="https://chinesezerotohero.teachable.com/courses/302482/lectures/5157448" TargetMode="External"/><Relationship Id="rId558" Type="http://schemas.openxmlformats.org/officeDocument/2006/relationships/hyperlink" Target="https://chinesezerotohero.teachable.com/courses/302490/lectures/5607748" TargetMode="External"/><Relationship Id="rId315" Type="http://schemas.openxmlformats.org/officeDocument/2006/relationships/hyperlink" Target="https://chinesezerotohero.teachable.com/courses/299571/lectures/4606493" TargetMode="External"/><Relationship Id="rId436" Type="http://schemas.openxmlformats.org/officeDocument/2006/relationships/hyperlink" Target="https://chinesezerotohero.teachable.com/courses/302482/lectures/5157446" TargetMode="External"/><Relationship Id="rId557" Type="http://schemas.openxmlformats.org/officeDocument/2006/relationships/hyperlink" Target="https://chinesezerotohero.teachable.com/courses/302490/lectures/5607748" TargetMode="External"/><Relationship Id="rId314" Type="http://schemas.openxmlformats.org/officeDocument/2006/relationships/hyperlink" Target="https://chinesezerotohero.teachable.com/courses/299571/lectures/4606502" TargetMode="External"/><Relationship Id="rId435" Type="http://schemas.openxmlformats.org/officeDocument/2006/relationships/hyperlink" Target="https://chinesezerotohero.teachable.com/courses/302482/lectures/5157446" TargetMode="External"/><Relationship Id="rId556" Type="http://schemas.openxmlformats.org/officeDocument/2006/relationships/hyperlink" Target="https://chinesezerotohero.teachable.com/courses/302490/lectures/5607748" TargetMode="External"/><Relationship Id="rId313" Type="http://schemas.openxmlformats.org/officeDocument/2006/relationships/hyperlink" Target="https://chinesezerotohero.teachable.com/courses/299571/lectures/4606502" TargetMode="External"/><Relationship Id="rId434" Type="http://schemas.openxmlformats.org/officeDocument/2006/relationships/hyperlink" Target="https://chinesezerotohero.teachable.com/courses/302482/lectures/5157348" TargetMode="External"/><Relationship Id="rId555" Type="http://schemas.openxmlformats.org/officeDocument/2006/relationships/hyperlink" Target="https://chinesezerotohero.teachable.com/courses/302490/lectures/5607747" TargetMode="External"/><Relationship Id="rId676" Type="http://schemas.openxmlformats.org/officeDocument/2006/relationships/drawing" Target="../drawings/drawing1.xml"/><Relationship Id="rId319" Type="http://schemas.openxmlformats.org/officeDocument/2006/relationships/hyperlink" Target="https://chinesezerotohero.teachable.com/courses/299571/lectures/4606516" TargetMode="External"/><Relationship Id="rId318" Type="http://schemas.openxmlformats.org/officeDocument/2006/relationships/hyperlink" Target="https://chinesezerotohero.teachable.com/courses/299571/lectures/4606492" TargetMode="External"/><Relationship Id="rId439" Type="http://schemas.openxmlformats.org/officeDocument/2006/relationships/hyperlink" Target="https://chinesezerotohero.teachable.com/courses/302482/lectures/5157448" TargetMode="External"/><Relationship Id="rId317" Type="http://schemas.openxmlformats.org/officeDocument/2006/relationships/hyperlink" Target="https://chinesezerotohero.teachable.com/courses/299571/lectures/4606495" TargetMode="External"/><Relationship Id="rId438" Type="http://schemas.openxmlformats.org/officeDocument/2006/relationships/hyperlink" Target="https://chinesezerotohero.teachable.com/courses/302482/lectures/5157448" TargetMode="External"/><Relationship Id="rId559" Type="http://schemas.openxmlformats.org/officeDocument/2006/relationships/hyperlink" Target="https://chinesezerotohero.teachable.com/courses/302490/lectures/5607749" TargetMode="External"/><Relationship Id="rId550" Type="http://schemas.openxmlformats.org/officeDocument/2006/relationships/hyperlink" Target="https://chinesezerotohero.teachable.com/courses/302490/lectures/5607746" TargetMode="External"/><Relationship Id="rId671" Type="http://schemas.openxmlformats.org/officeDocument/2006/relationships/hyperlink" Target="https://chinesezerotohero.teachable.com/courses/302506/lectures/8524255" TargetMode="External"/><Relationship Id="rId670" Type="http://schemas.openxmlformats.org/officeDocument/2006/relationships/hyperlink" Target="https://chinesezerotohero.teachable.com/courses/302506/lectures/8524255" TargetMode="External"/><Relationship Id="rId312" Type="http://schemas.openxmlformats.org/officeDocument/2006/relationships/hyperlink" Target="https://chinesezerotohero.teachable.com/courses/299571/lectures/4606502" TargetMode="External"/><Relationship Id="rId433" Type="http://schemas.openxmlformats.org/officeDocument/2006/relationships/hyperlink" Target="https://chinesezerotohero.teachable.com/courses/302482/lectures/5157347" TargetMode="External"/><Relationship Id="rId554" Type="http://schemas.openxmlformats.org/officeDocument/2006/relationships/hyperlink" Target="https://chinesezerotohero.teachable.com/courses/302490/lectures/5607747" TargetMode="External"/><Relationship Id="rId675" Type="http://schemas.openxmlformats.org/officeDocument/2006/relationships/hyperlink" Target="https://chinesezerotohero.teachable.com/courses/302506/lectures/8591532" TargetMode="External"/><Relationship Id="rId311" Type="http://schemas.openxmlformats.org/officeDocument/2006/relationships/hyperlink" Target="https://chinesezerotohero.teachable.com/courses/299571/lectures/4606491" TargetMode="External"/><Relationship Id="rId432" Type="http://schemas.openxmlformats.org/officeDocument/2006/relationships/hyperlink" Target="https://chinesezerotohero.teachable.com/courses/302482/lectures/5157349" TargetMode="External"/><Relationship Id="rId553" Type="http://schemas.openxmlformats.org/officeDocument/2006/relationships/hyperlink" Target="https://chinesezerotohero.teachable.com/courses/302490/lectures/5607747" TargetMode="External"/><Relationship Id="rId674" Type="http://schemas.openxmlformats.org/officeDocument/2006/relationships/hyperlink" Target="https://chinesezerotohero.teachable.com/courses/302506/lectures/8591531" TargetMode="External"/><Relationship Id="rId310" Type="http://schemas.openxmlformats.org/officeDocument/2006/relationships/hyperlink" Target="https://chinesezerotohero.teachable.com/courses/299571/lectures/4606491" TargetMode="External"/><Relationship Id="rId431" Type="http://schemas.openxmlformats.org/officeDocument/2006/relationships/hyperlink" Target="https://chinesezerotohero.teachable.com/courses/302461/lectures/5044300" TargetMode="External"/><Relationship Id="rId552" Type="http://schemas.openxmlformats.org/officeDocument/2006/relationships/hyperlink" Target="https://chinesezerotohero.teachable.com/courses/302490/lectures/5607747" TargetMode="External"/><Relationship Id="rId673" Type="http://schemas.openxmlformats.org/officeDocument/2006/relationships/hyperlink" Target="https://chinesezerotohero.teachable.com/courses/302506/lectures/8591529" TargetMode="External"/><Relationship Id="rId430" Type="http://schemas.openxmlformats.org/officeDocument/2006/relationships/hyperlink" Target="https://chinesezerotohero.teachable.com/courses/302461/lectures/5044299" TargetMode="External"/><Relationship Id="rId551" Type="http://schemas.openxmlformats.org/officeDocument/2006/relationships/hyperlink" Target="https://chinesezerotohero.teachable.com/courses/302490/lectures/5607746" TargetMode="External"/><Relationship Id="rId672" Type="http://schemas.openxmlformats.org/officeDocument/2006/relationships/hyperlink" Target="https://chinesezerotohero.teachable.com/courses/302506/lectures/853319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29.5"/>
    <col customWidth="1" min="6" max="6" width="34.5"/>
    <col customWidth="1" min="7" max="7" width="26.5"/>
    <col customWidth="1" min="8" max="8" width="47.75"/>
    <col customWidth="1" min="9" max="10" width="42.5"/>
  </cols>
  <sheetData>
    <row r="1">
      <c r="A1" s="1" t="s">
        <v>0</v>
      </c>
      <c r="B1" s="1" t="s">
        <v>1</v>
      </c>
      <c r="C1" s="1" t="s">
        <v>2</v>
      </c>
      <c r="D1" s="1" t="s">
        <v>3</v>
      </c>
      <c r="E1" s="1" t="s">
        <v>4</v>
      </c>
      <c r="F1" s="2" t="s">
        <v>5</v>
      </c>
      <c r="G1" s="2" t="s">
        <v>6</v>
      </c>
      <c r="H1" s="3" t="str">
        <f t="shared" ref="H1:H1017" si="1">PINYIN(G1)</f>
        <v>#NAME?</v>
      </c>
      <c r="I1" s="2" t="s">
        <v>7</v>
      </c>
      <c r="J1" s="1" t="s">
        <v>8</v>
      </c>
    </row>
    <row r="2">
      <c r="A2" s="1">
        <v>1.0</v>
      </c>
      <c r="B2" s="1" t="s">
        <v>9</v>
      </c>
      <c r="C2" s="1" t="s">
        <v>10</v>
      </c>
      <c r="E2" s="1" t="s">
        <v>11</v>
      </c>
      <c r="F2" s="2" t="s">
        <v>12</v>
      </c>
      <c r="G2" s="2" t="s">
        <v>13</v>
      </c>
      <c r="H2" s="3" t="str">
        <f t="shared" si="1"/>
        <v>#NAME?</v>
      </c>
      <c r="I2" s="2" t="s">
        <v>14</v>
      </c>
      <c r="J2" s="4" t="s">
        <v>15</v>
      </c>
    </row>
    <row r="3">
      <c r="A3" s="1">
        <v>2.0</v>
      </c>
      <c r="B3" s="1" t="s">
        <v>9</v>
      </c>
      <c r="C3" s="1" t="s">
        <v>16</v>
      </c>
      <c r="E3" s="1" t="s">
        <v>17</v>
      </c>
      <c r="F3" s="2" t="s">
        <v>18</v>
      </c>
      <c r="G3" s="2" t="s">
        <v>19</v>
      </c>
      <c r="H3" s="3" t="str">
        <f t="shared" si="1"/>
        <v>#NAME?</v>
      </c>
      <c r="I3" s="2" t="s">
        <v>20</v>
      </c>
      <c r="J3" s="4" t="s">
        <v>21</v>
      </c>
    </row>
    <row r="4">
      <c r="A4" s="1">
        <v>3.0</v>
      </c>
      <c r="B4" s="1" t="s">
        <v>22</v>
      </c>
      <c r="C4" s="1" t="s">
        <v>23</v>
      </c>
      <c r="E4" s="1" t="s">
        <v>24</v>
      </c>
      <c r="F4" s="2" t="s">
        <v>25</v>
      </c>
      <c r="G4" s="2" t="s">
        <v>26</v>
      </c>
      <c r="H4" s="3" t="str">
        <f t="shared" si="1"/>
        <v>#NAME?</v>
      </c>
      <c r="I4" s="2" t="s">
        <v>27</v>
      </c>
      <c r="J4" s="4" t="s">
        <v>21</v>
      </c>
    </row>
    <row r="5">
      <c r="A5" s="1">
        <v>4.0</v>
      </c>
      <c r="B5" s="1" t="s">
        <v>22</v>
      </c>
      <c r="C5" s="1" t="s">
        <v>28</v>
      </c>
      <c r="E5" s="1" t="s">
        <v>29</v>
      </c>
      <c r="F5" s="2" t="s">
        <v>30</v>
      </c>
      <c r="G5" s="2" t="s">
        <v>31</v>
      </c>
      <c r="H5" s="3" t="str">
        <f t="shared" si="1"/>
        <v>#NAME?</v>
      </c>
      <c r="I5" s="2" t="s">
        <v>32</v>
      </c>
      <c r="J5" s="4" t="s">
        <v>21</v>
      </c>
    </row>
    <row r="6">
      <c r="A6" s="1">
        <v>5.0</v>
      </c>
      <c r="B6" s="1" t="s">
        <v>33</v>
      </c>
      <c r="C6" s="1" t="s">
        <v>34</v>
      </c>
      <c r="E6" s="1" t="s">
        <v>35</v>
      </c>
      <c r="F6" s="2" t="s">
        <v>36</v>
      </c>
      <c r="G6" s="2" t="s">
        <v>37</v>
      </c>
      <c r="H6" s="3" t="str">
        <f t="shared" si="1"/>
        <v>#NAME?</v>
      </c>
      <c r="I6" s="2" t="s">
        <v>38</v>
      </c>
      <c r="J6" s="4" t="s">
        <v>39</v>
      </c>
    </row>
    <row r="7">
      <c r="A7" s="1">
        <v>6.0</v>
      </c>
      <c r="B7" s="1" t="s">
        <v>40</v>
      </c>
      <c r="C7" s="1" t="s">
        <v>41</v>
      </c>
      <c r="E7" s="1" t="s">
        <v>42</v>
      </c>
      <c r="F7" s="2" t="s">
        <v>43</v>
      </c>
      <c r="G7" s="2" t="s">
        <v>44</v>
      </c>
      <c r="H7" s="3" t="str">
        <f t="shared" si="1"/>
        <v>#NAME?</v>
      </c>
      <c r="I7" s="2" t="s">
        <v>45</v>
      </c>
      <c r="J7" s="4" t="s">
        <v>46</v>
      </c>
    </row>
    <row r="8">
      <c r="A8" s="1">
        <v>7.0</v>
      </c>
      <c r="B8" s="1" t="s">
        <v>40</v>
      </c>
      <c r="C8" s="1" t="s">
        <v>47</v>
      </c>
      <c r="E8" s="1" t="s">
        <v>48</v>
      </c>
      <c r="F8" s="2" t="s">
        <v>49</v>
      </c>
      <c r="G8" s="2" t="s">
        <v>50</v>
      </c>
      <c r="H8" s="3" t="str">
        <f t="shared" si="1"/>
        <v>#NAME?</v>
      </c>
      <c r="I8" s="2" t="s">
        <v>51</v>
      </c>
      <c r="J8" s="4" t="s">
        <v>46</v>
      </c>
    </row>
    <row r="9">
      <c r="A9" s="1">
        <v>8.0</v>
      </c>
      <c r="B9" s="1" t="s">
        <v>52</v>
      </c>
      <c r="C9" s="1" t="s">
        <v>53</v>
      </c>
      <c r="E9" s="1" t="s">
        <v>54</v>
      </c>
      <c r="F9" s="2" t="s">
        <v>55</v>
      </c>
      <c r="G9" s="2" t="s">
        <v>56</v>
      </c>
      <c r="H9" s="3" t="str">
        <f t="shared" si="1"/>
        <v>#NAME?</v>
      </c>
      <c r="I9" s="2" t="s">
        <v>57</v>
      </c>
      <c r="J9" s="4" t="s">
        <v>58</v>
      </c>
    </row>
    <row r="10">
      <c r="A10" s="1">
        <v>9.0</v>
      </c>
      <c r="B10" s="1" t="s">
        <v>59</v>
      </c>
      <c r="C10" s="1" t="s">
        <v>60</v>
      </c>
      <c r="E10" s="1" t="s">
        <v>61</v>
      </c>
      <c r="F10" s="2" t="s">
        <v>62</v>
      </c>
      <c r="G10" s="2" t="s">
        <v>63</v>
      </c>
      <c r="H10" s="3" t="str">
        <f t="shared" si="1"/>
        <v>#NAME?</v>
      </c>
      <c r="I10" s="2" t="s">
        <v>64</v>
      </c>
      <c r="J10" s="4" t="s">
        <v>65</v>
      </c>
    </row>
    <row r="11">
      <c r="A11" s="1">
        <v>10.0</v>
      </c>
      <c r="B11" s="1" t="s">
        <v>66</v>
      </c>
      <c r="C11" s="1" t="s">
        <v>67</v>
      </c>
      <c r="E11" s="1" t="s">
        <v>68</v>
      </c>
      <c r="F11" s="2" t="s">
        <v>69</v>
      </c>
      <c r="G11" s="2" t="s">
        <v>70</v>
      </c>
      <c r="H11" s="3" t="str">
        <f t="shared" si="1"/>
        <v>#NAME?</v>
      </c>
      <c r="I11" s="2" t="s">
        <v>71</v>
      </c>
      <c r="J11" s="4" t="s">
        <v>72</v>
      </c>
    </row>
    <row r="12">
      <c r="A12" s="1">
        <v>11.0</v>
      </c>
      <c r="B12" s="1" t="s">
        <v>73</v>
      </c>
      <c r="C12" s="1" t="s">
        <v>74</v>
      </c>
      <c r="E12" s="1" t="s">
        <v>75</v>
      </c>
      <c r="F12" s="2" t="s">
        <v>76</v>
      </c>
      <c r="G12" s="2" t="s">
        <v>77</v>
      </c>
      <c r="H12" s="3" t="str">
        <f t="shared" si="1"/>
        <v>#NAME?</v>
      </c>
      <c r="I12" s="2" t="s">
        <v>78</v>
      </c>
      <c r="J12" s="4" t="s">
        <v>79</v>
      </c>
    </row>
    <row r="13">
      <c r="A13" s="1">
        <v>12.0</v>
      </c>
      <c r="B13" s="1" t="s">
        <v>80</v>
      </c>
      <c r="C13" s="1" t="s">
        <v>81</v>
      </c>
      <c r="E13" s="1" t="s">
        <v>82</v>
      </c>
      <c r="F13" s="2" t="s">
        <v>83</v>
      </c>
      <c r="G13" s="2" t="s">
        <v>84</v>
      </c>
      <c r="H13" s="3" t="str">
        <f t="shared" si="1"/>
        <v>#NAME?</v>
      </c>
      <c r="I13" s="2" t="s">
        <v>85</v>
      </c>
      <c r="J13" s="4" t="s">
        <v>86</v>
      </c>
    </row>
    <row r="14">
      <c r="A14" s="1">
        <v>13.0</v>
      </c>
      <c r="B14" s="1" t="s">
        <v>87</v>
      </c>
      <c r="C14" s="1" t="s">
        <v>88</v>
      </c>
      <c r="E14" s="1" t="s">
        <v>89</v>
      </c>
      <c r="F14" s="2" t="s">
        <v>90</v>
      </c>
      <c r="G14" s="2" t="s">
        <v>91</v>
      </c>
      <c r="H14" s="3" t="str">
        <f t="shared" si="1"/>
        <v>#NAME?</v>
      </c>
      <c r="I14" s="2" t="s">
        <v>92</v>
      </c>
      <c r="J14" s="4" t="s">
        <v>93</v>
      </c>
    </row>
    <row r="15">
      <c r="A15" s="1">
        <v>14.0</v>
      </c>
      <c r="B15" s="1" t="s">
        <v>94</v>
      </c>
      <c r="C15" s="1" t="s">
        <v>95</v>
      </c>
      <c r="E15" s="1" t="s">
        <v>96</v>
      </c>
      <c r="F15" s="2" t="s">
        <v>97</v>
      </c>
      <c r="G15" s="2" t="s">
        <v>98</v>
      </c>
      <c r="H15" s="3" t="str">
        <f t="shared" si="1"/>
        <v>#NAME?</v>
      </c>
      <c r="I15" s="2" t="s">
        <v>99</v>
      </c>
      <c r="J15" s="4" t="s">
        <v>100</v>
      </c>
    </row>
    <row r="16">
      <c r="A16" s="1">
        <v>15.0</v>
      </c>
      <c r="B16" s="1" t="s">
        <v>101</v>
      </c>
      <c r="C16" s="1" t="s">
        <v>102</v>
      </c>
      <c r="E16" s="1" t="s">
        <v>103</v>
      </c>
      <c r="F16" s="2" t="s">
        <v>104</v>
      </c>
      <c r="G16" s="2" t="s">
        <v>105</v>
      </c>
      <c r="H16" s="3" t="str">
        <f t="shared" si="1"/>
        <v>#NAME?</v>
      </c>
      <c r="I16" s="2" t="s">
        <v>106</v>
      </c>
      <c r="J16" s="4" t="s">
        <v>107</v>
      </c>
    </row>
    <row r="17">
      <c r="A17" s="1">
        <v>16.0</v>
      </c>
      <c r="B17" s="1" t="s">
        <v>108</v>
      </c>
      <c r="C17" s="1" t="s">
        <v>109</v>
      </c>
      <c r="E17" s="1" t="s">
        <v>110</v>
      </c>
      <c r="F17" s="2" t="s">
        <v>111</v>
      </c>
      <c r="G17" s="2" t="s">
        <v>112</v>
      </c>
      <c r="H17" s="3" t="str">
        <f t="shared" si="1"/>
        <v>#NAME?</v>
      </c>
      <c r="I17" s="2" t="s">
        <v>113</v>
      </c>
      <c r="J17" s="4" t="s">
        <v>114</v>
      </c>
    </row>
    <row r="18">
      <c r="A18" s="1">
        <v>17.0</v>
      </c>
      <c r="B18" s="1" t="s">
        <v>115</v>
      </c>
      <c r="C18" s="1" t="s">
        <v>116</v>
      </c>
      <c r="E18" s="1" t="s">
        <v>117</v>
      </c>
      <c r="F18" s="2" t="s">
        <v>118</v>
      </c>
      <c r="G18" s="2" t="s">
        <v>119</v>
      </c>
      <c r="H18" s="3" t="str">
        <f t="shared" si="1"/>
        <v>#NAME?</v>
      </c>
      <c r="I18" s="5">
        <v>45537.0</v>
      </c>
      <c r="J18" s="4" t="s">
        <v>120</v>
      </c>
    </row>
    <row r="19">
      <c r="A19" s="1">
        <v>18.0</v>
      </c>
      <c r="B19" s="1" t="s">
        <v>121</v>
      </c>
      <c r="F19" s="2" t="s">
        <v>122</v>
      </c>
      <c r="G19" s="2" t="s">
        <v>123</v>
      </c>
      <c r="H19" s="3" t="str">
        <f t="shared" si="1"/>
        <v>#NAME?</v>
      </c>
      <c r="I19" s="2" t="s">
        <v>124</v>
      </c>
      <c r="J19" s="4" t="s">
        <v>125</v>
      </c>
    </row>
    <row r="20">
      <c r="A20" s="1">
        <v>19.0</v>
      </c>
      <c r="B20" s="1" t="s">
        <v>126</v>
      </c>
      <c r="C20" s="1" t="s">
        <v>127</v>
      </c>
      <c r="E20" s="1" t="s">
        <v>128</v>
      </c>
      <c r="F20" s="2" t="s">
        <v>129</v>
      </c>
      <c r="G20" s="2" t="s">
        <v>130</v>
      </c>
      <c r="H20" s="3" t="str">
        <f t="shared" si="1"/>
        <v>#NAME?</v>
      </c>
      <c r="I20" s="2" t="s">
        <v>131</v>
      </c>
      <c r="J20" s="4" t="s">
        <v>132</v>
      </c>
    </row>
    <row r="21">
      <c r="A21" s="1">
        <v>20.0</v>
      </c>
      <c r="B21" s="1" t="s">
        <v>133</v>
      </c>
      <c r="C21" s="1" t="s">
        <v>134</v>
      </c>
      <c r="E21" s="1" t="s">
        <v>135</v>
      </c>
      <c r="F21" s="2" t="s">
        <v>136</v>
      </c>
      <c r="G21" s="2" t="s">
        <v>137</v>
      </c>
      <c r="H21" s="3" t="str">
        <f t="shared" si="1"/>
        <v>#NAME?</v>
      </c>
      <c r="I21" s="2" t="s">
        <v>138</v>
      </c>
      <c r="J21" s="4" t="s">
        <v>139</v>
      </c>
    </row>
    <row r="22">
      <c r="A22" s="1">
        <v>21.0</v>
      </c>
      <c r="B22" s="1" t="s">
        <v>140</v>
      </c>
      <c r="C22" s="1" t="s">
        <v>141</v>
      </c>
      <c r="E22" s="1" t="s">
        <v>142</v>
      </c>
      <c r="F22" s="2" t="s">
        <v>143</v>
      </c>
      <c r="G22" s="2" t="s">
        <v>144</v>
      </c>
      <c r="H22" s="3" t="str">
        <f t="shared" si="1"/>
        <v>#NAME?</v>
      </c>
      <c r="I22" s="2" t="s">
        <v>145</v>
      </c>
      <c r="J22" s="4" t="s">
        <v>146</v>
      </c>
    </row>
    <row r="23">
      <c r="A23" s="1">
        <v>22.0</v>
      </c>
      <c r="B23" s="1" t="s">
        <v>147</v>
      </c>
      <c r="C23" s="1" t="s">
        <v>148</v>
      </c>
      <c r="E23" s="1" t="s">
        <v>149</v>
      </c>
      <c r="F23" s="2" t="s">
        <v>150</v>
      </c>
      <c r="G23" s="2" t="s">
        <v>151</v>
      </c>
      <c r="H23" s="3" t="str">
        <f t="shared" si="1"/>
        <v>#NAME?</v>
      </c>
      <c r="I23" s="2" t="s">
        <v>152</v>
      </c>
      <c r="J23" s="4" t="s">
        <v>153</v>
      </c>
    </row>
    <row r="24">
      <c r="A24" s="1">
        <v>23.0</v>
      </c>
      <c r="B24" s="1" t="s">
        <v>147</v>
      </c>
      <c r="C24" s="1" t="s">
        <v>154</v>
      </c>
      <c r="E24" s="1" t="s">
        <v>155</v>
      </c>
      <c r="F24" s="2" t="s">
        <v>150</v>
      </c>
      <c r="G24" s="2" t="s">
        <v>156</v>
      </c>
      <c r="H24" s="3" t="str">
        <f t="shared" si="1"/>
        <v>#NAME?</v>
      </c>
      <c r="I24" s="2" t="s">
        <v>157</v>
      </c>
      <c r="J24" s="4" t="s">
        <v>153</v>
      </c>
    </row>
    <row r="25">
      <c r="A25" s="1">
        <v>24.0</v>
      </c>
      <c r="B25" s="1" t="s">
        <v>158</v>
      </c>
      <c r="C25" s="1" t="s">
        <v>159</v>
      </c>
      <c r="E25" s="1" t="s">
        <v>160</v>
      </c>
      <c r="F25" s="2" t="s">
        <v>161</v>
      </c>
      <c r="G25" s="2" t="s">
        <v>162</v>
      </c>
      <c r="H25" s="3" t="str">
        <f t="shared" si="1"/>
        <v>#NAME?</v>
      </c>
      <c r="I25" s="2" t="s">
        <v>163</v>
      </c>
      <c r="J25" s="4" t="s">
        <v>164</v>
      </c>
    </row>
    <row r="26">
      <c r="A26" s="1">
        <v>25.0</v>
      </c>
      <c r="B26" s="1" t="s">
        <v>165</v>
      </c>
      <c r="C26" s="1" t="s">
        <v>166</v>
      </c>
      <c r="E26" s="1" t="s">
        <v>167</v>
      </c>
      <c r="F26" s="2" t="s">
        <v>168</v>
      </c>
      <c r="G26" s="2" t="s">
        <v>169</v>
      </c>
      <c r="H26" s="3" t="str">
        <f t="shared" si="1"/>
        <v>#NAME?</v>
      </c>
      <c r="I26" s="2" t="s">
        <v>170</v>
      </c>
      <c r="J26" s="4" t="s">
        <v>171</v>
      </c>
    </row>
    <row r="27">
      <c r="A27" s="1">
        <v>26.0</v>
      </c>
      <c r="B27" s="1" t="s">
        <v>172</v>
      </c>
      <c r="C27" s="1" t="s">
        <v>173</v>
      </c>
      <c r="E27" s="1" t="s">
        <v>174</v>
      </c>
      <c r="F27" s="2" t="s">
        <v>175</v>
      </c>
      <c r="G27" s="2" t="s">
        <v>176</v>
      </c>
      <c r="H27" s="3" t="str">
        <f t="shared" si="1"/>
        <v>#NAME?</v>
      </c>
      <c r="I27" s="2" t="s">
        <v>177</v>
      </c>
      <c r="J27" s="4" t="s">
        <v>178</v>
      </c>
    </row>
    <row r="28">
      <c r="A28" s="1">
        <v>27.0</v>
      </c>
      <c r="B28" s="1" t="s">
        <v>179</v>
      </c>
      <c r="C28" s="1" t="s">
        <v>180</v>
      </c>
      <c r="E28" s="1" t="s">
        <v>181</v>
      </c>
      <c r="F28" s="2" t="s">
        <v>182</v>
      </c>
      <c r="G28" s="2" t="s">
        <v>183</v>
      </c>
      <c r="H28" s="3" t="str">
        <f t="shared" si="1"/>
        <v>#NAME?</v>
      </c>
      <c r="I28" s="2" t="s">
        <v>184</v>
      </c>
      <c r="J28" s="4" t="s">
        <v>185</v>
      </c>
    </row>
    <row r="29">
      <c r="A29" s="1">
        <v>28.0</v>
      </c>
      <c r="B29" s="1" t="s">
        <v>186</v>
      </c>
      <c r="C29" s="1" t="s">
        <v>187</v>
      </c>
      <c r="E29" s="1" t="s">
        <v>188</v>
      </c>
      <c r="F29" s="2" t="s">
        <v>189</v>
      </c>
      <c r="G29" s="2" t="s">
        <v>190</v>
      </c>
      <c r="H29" s="3" t="str">
        <f t="shared" si="1"/>
        <v>#NAME?</v>
      </c>
      <c r="I29" s="2" t="s">
        <v>191</v>
      </c>
      <c r="J29" s="4" t="s">
        <v>192</v>
      </c>
    </row>
    <row r="30">
      <c r="A30" s="1">
        <v>29.0</v>
      </c>
      <c r="B30" s="1" t="s">
        <v>186</v>
      </c>
      <c r="C30" s="1" t="s">
        <v>193</v>
      </c>
      <c r="E30" s="1" t="s">
        <v>194</v>
      </c>
      <c r="F30" s="2" t="s">
        <v>195</v>
      </c>
      <c r="G30" s="2" t="s">
        <v>196</v>
      </c>
      <c r="H30" s="3" t="str">
        <f t="shared" si="1"/>
        <v>#NAME?</v>
      </c>
      <c r="I30" s="2" t="s">
        <v>177</v>
      </c>
      <c r="J30" s="4" t="s">
        <v>192</v>
      </c>
    </row>
    <row r="31">
      <c r="A31" s="1">
        <v>30.0</v>
      </c>
      <c r="B31" s="1" t="s">
        <v>197</v>
      </c>
      <c r="C31" s="1" t="s">
        <v>198</v>
      </c>
      <c r="E31" s="1" t="s">
        <v>199</v>
      </c>
      <c r="F31" s="2" t="s">
        <v>200</v>
      </c>
      <c r="G31" s="2" t="s">
        <v>201</v>
      </c>
      <c r="H31" s="3" t="str">
        <f t="shared" si="1"/>
        <v>#NAME?</v>
      </c>
      <c r="I31" s="2" t="s">
        <v>202</v>
      </c>
      <c r="J31" s="4" t="s">
        <v>203</v>
      </c>
    </row>
    <row r="32">
      <c r="A32" s="1">
        <v>31.0</v>
      </c>
      <c r="B32" s="1" t="s">
        <v>197</v>
      </c>
      <c r="C32" s="1" t="s">
        <v>204</v>
      </c>
      <c r="E32" s="1" t="s">
        <v>205</v>
      </c>
      <c r="F32" s="2" t="s">
        <v>206</v>
      </c>
      <c r="G32" s="2" t="s">
        <v>207</v>
      </c>
      <c r="H32" s="3" t="str">
        <f t="shared" si="1"/>
        <v>#NAME?</v>
      </c>
      <c r="I32" s="2" t="s">
        <v>208</v>
      </c>
      <c r="J32" s="4" t="s">
        <v>203</v>
      </c>
    </row>
    <row r="33">
      <c r="A33" s="1">
        <v>32.0</v>
      </c>
      <c r="B33" s="1" t="s">
        <v>209</v>
      </c>
      <c r="C33" s="1" t="s">
        <v>210</v>
      </c>
      <c r="E33" s="1" t="s">
        <v>211</v>
      </c>
      <c r="F33" s="2" t="s">
        <v>212</v>
      </c>
      <c r="G33" s="2" t="s">
        <v>213</v>
      </c>
      <c r="H33" s="3" t="str">
        <f t="shared" si="1"/>
        <v>#NAME?</v>
      </c>
      <c r="I33" s="2" t="s">
        <v>214</v>
      </c>
      <c r="J33" s="4" t="s">
        <v>215</v>
      </c>
    </row>
    <row r="34">
      <c r="A34" s="1">
        <v>33.0</v>
      </c>
      <c r="B34" s="1" t="s">
        <v>216</v>
      </c>
      <c r="C34" s="1" t="s">
        <v>217</v>
      </c>
      <c r="E34" s="1" t="s">
        <v>218</v>
      </c>
      <c r="F34" s="2" t="s">
        <v>219</v>
      </c>
      <c r="G34" s="2" t="s">
        <v>220</v>
      </c>
      <c r="H34" s="3" t="str">
        <f t="shared" si="1"/>
        <v>#NAME?</v>
      </c>
      <c r="I34" s="2" t="s">
        <v>221</v>
      </c>
      <c r="J34" s="4" t="s">
        <v>222</v>
      </c>
    </row>
    <row r="35">
      <c r="A35" s="1">
        <v>34.0</v>
      </c>
      <c r="B35" s="1" t="s">
        <v>223</v>
      </c>
      <c r="C35" s="1" t="s">
        <v>224</v>
      </c>
      <c r="E35" s="1" t="s">
        <v>225</v>
      </c>
      <c r="F35" s="2" t="s">
        <v>226</v>
      </c>
      <c r="G35" s="2" t="s">
        <v>227</v>
      </c>
      <c r="H35" s="3" t="str">
        <f t="shared" si="1"/>
        <v>#NAME?</v>
      </c>
      <c r="I35" s="2" t="s">
        <v>228</v>
      </c>
      <c r="J35" s="4" t="s">
        <v>229</v>
      </c>
    </row>
    <row r="36">
      <c r="A36" s="1">
        <v>35.0</v>
      </c>
      <c r="B36" s="1" t="s">
        <v>230</v>
      </c>
      <c r="C36" s="1" t="s">
        <v>231</v>
      </c>
      <c r="E36" s="1" t="s">
        <v>232</v>
      </c>
      <c r="F36" s="2" t="s">
        <v>233</v>
      </c>
      <c r="G36" s="2" t="s">
        <v>234</v>
      </c>
      <c r="H36" s="3" t="str">
        <f t="shared" si="1"/>
        <v>#NAME?</v>
      </c>
      <c r="I36" s="6">
        <v>0.4652777777777778</v>
      </c>
      <c r="J36" s="4" t="s">
        <v>235</v>
      </c>
    </row>
    <row r="37">
      <c r="A37" s="1">
        <v>36.0</v>
      </c>
      <c r="B37" s="1" t="s">
        <v>230</v>
      </c>
      <c r="C37" s="1" t="s">
        <v>236</v>
      </c>
      <c r="E37" s="1" t="s">
        <v>237</v>
      </c>
      <c r="F37" s="2" t="s">
        <v>238</v>
      </c>
      <c r="G37" s="2" t="s">
        <v>239</v>
      </c>
      <c r="H37" s="3" t="str">
        <f t="shared" si="1"/>
        <v>#NAME?</v>
      </c>
      <c r="I37" s="7">
        <v>0.6319444444444444</v>
      </c>
      <c r="J37" s="4" t="s">
        <v>235</v>
      </c>
    </row>
    <row r="38">
      <c r="A38" s="1">
        <v>37.0</v>
      </c>
      <c r="B38" s="1" t="s">
        <v>240</v>
      </c>
      <c r="C38" s="1" t="s">
        <v>241</v>
      </c>
      <c r="E38" s="1" t="s">
        <v>241</v>
      </c>
      <c r="F38" s="2" t="s">
        <v>242</v>
      </c>
      <c r="G38" s="2" t="s">
        <v>243</v>
      </c>
      <c r="H38" s="3" t="str">
        <f t="shared" si="1"/>
        <v>#NAME?</v>
      </c>
      <c r="I38" s="2" t="s">
        <v>244</v>
      </c>
      <c r="J38" s="4" t="s">
        <v>245</v>
      </c>
    </row>
    <row r="39">
      <c r="A39" s="1">
        <v>38.0</v>
      </c>
      <c r="B39" s="1" t="s">
        <v>240</v>
      </c>
      <c r="C39" s="1" t="s">
        <v>246</v>
      </c>
      <c r="E39" s="1" t="s">
        <v>246</v>
      </c>
      <c r="F39" s="2" t="s">
        <v>242</v>
      </c>
      <c r="G39" s="2" t="s">
        <v>247</v>
      </c>
      <c r="H39" s="3" t="str">
        <f t="shared" si="1"/>
        <v>#NAME?</v>
      </c>
      <c r="I39" s="2" t="s">
        <v>248</v>
      </c>
      <c r="J39" s="4" t="s">
        <v>245</v>
      </c>
    </row>
    <row r="40">
      <c r="A40" s="1">
        <v>39.0</v>
      </c>
      <c r="B40" s="1" t="s">
        <v>249</v>
      </c>
      <c r="C40" s="1" t="s">
        <v>250</v>
      </c>
      <c r="E40" s="1" t="s">
        <v>251</v>
      </c>
      <c r="F40" s="2" t="s">
        <v>252</v>
      </c>
      <c r="G40" s="2" t="s">
        <v>253</v>
      </c>
      <c r="H40" s="3" t="str">
        <f t="shared" si="1"/>
        <v>#NAME?</v>
      </c>
      <c r="I40" s="2" t="s">
        <v>254</v>
      </c>
      <c r="J40" s="4" t="s">
        <v>255</v>
      </c>
    </row>
    <row r="41">
      <c r="A41" s="1">
        <v>40.0</v>
      </c>
      <c r="B41" s="1" t="s">
        <v>249</v>
      </c>
      <c r="C41" s="1" t="s">
        <v>256</v>
      </c>
      <c r="E41" s="1" t="s">
        <v>257</v>
      </c>
      <c r="F41" s="2" t="s">
        <v>258</v>
      </c>
      <c r="G41" s="2" t="s">
        <v>259</v>
      </c>
      <c r="H41" s="3" t="str">
        <f t="shared" si="1"/>
        <v>#NAME?</v>
      </c>
      <c r="I41" s="2" t="s">
        <v>260</v>
      </c>
      <c r="J41" s="4" t="s">
        <v>255</v>
      </c>
    </row>
    <row r="42">
      <c r="A42" s="1">
        <v>41.0</v>
      </c>
      <c r="B42" s="1" t="s">
        <v>261</v>
      </c>
      <c r="C42" s="1" t="s">
        <v>262</v>
      </c>
      <c r="E42" s="1" t="s">
        <v>263</v>
      </c>
      <c r="F42" s="2" t="s">
        <v>264</v>
      </c>
      <c r="G42" s="2" t="s">
        <v>265</v>
      </c>
      <c r="H42" s="3" t="str">
        <f t="shared" si="1"/>
        <v>#NAME?</v>
      </c>
      <c r="I42" s="2" t="s">
        <v>266</v>
      </c>
      <c r="J42" s="4" t="s">
        <v>267</v>
      </c>
    </row>
    <row r="43">
      <c r="A43" s="1">
        <v>42.0</v>
      </c>
      <c r="B43" s="1" t="s">
        <v>268</v>
      </c>
      <c r="C43" s="1" t="s">
        <v>53</v>
      </c>
      <c r="E43" s="1" t="s">
        <v>54</v>
      </c>
      <c r="F43" s="2" t="s">
        <v>269</v>
      </c>
      <c r="G43" s="2" t="s">
        <v>270</v>
      </c>
      <c r="H43" s="3" t="str">
        <f t="shared" si="1"/>
        <v>#NAME?</v>
      </c>
      <c r="I43" s="2" t="s">
        <v>271</v>
      </c>
      <c r="J43" s="4" t="s">
        <v>272</v>
      </c>
    </row>
    <row r="44">
      <c r="A44" s="1">
        <v>43.0</v>
      </c>
      <c r="B44" s="1" t="s">
        <v>273</v>
      </c>
      <c r="C44" s="1" t="s">
        <v>274</v>
      </c>
      <c r="E44" s="1" t="s">
        <v>275</v>
      </c>
      <c r="F44" s="2" t="s">
        <v>276</v>
      </c>
      <c r="G44" s="2" t="s">
        <v>277</v>
      </c>
      <c r="H44" s="3" t="str">
        <f t="shared" si="1"/>
        <v>#NAME?</v>
      </c>
      <c r="I44" s="2" t="s">
        <v>278</v>
      </c>
      <c r="J44" s="4" t="s">
        <v>279</v>
      </c>
    </row>
    <row r="45">
      <c r="A45" s="1">
        <v>44.0</v>
      </c>
      <c r="B45" s="1" t="s">
        <v>273</v>
      </c>
      <c r="C45" s="1" t="s">
        <v>280</v>
      </c>
      <c r="E45" s="1" t="s">
        <v>281</v>
      </c>
      <c r="F45" s="2" t="s">
        <v>282</v>
      </c>
      <c r="G45" s="2" t="s">
        <v>270</v>
      </c>
      <c r="H45" s="3" t="str">
        <f t="shared" si="1"/>
        <v>#NAME?</v>
      </c>
      <c r="I45" s="2" t="s">
        <v>283</v>
      </c>
      <c r="J45" s="4" t="s">
        <v>279</v>
      </c>
    </row>
    <row r="46">
      <c r="A46" s="1">
        <v>45.0</v>
      </c>
      <c r="B46" s="1" t="s">
        <v>284</v>
      </c>
      <c r="C46" s="1" t="s">
        <v>95</v>
      </c>
      <c r="E46" s="1" t="s">
        <v>96</v>
      </c>
      <c r="F46" s="2" t="s">
        <v>285</v>
      </c>
      <c r="G46" s="2" t="s">
        <v>286</v>
      </c>
      <c r="H46" s="3" t="str">
        <f t="shared" si="1"/>
        <v>#NAME?</v>
      </c>
      <c r="I46" s="2" t="s">
        <v>287</v>
      </c>
      <c r="J46" s="4" t="s">
        <v>288</v>
      </c>
    </row>
    <row r="47">
      <c r="A47" s="1">
        <v>46.0</v>
      </c>
      <c r="B47" s="1" t="s">
        <v>289</v>
      </c>
      <c r="C47" s="1" t="s">
        <v>290</v>
      </c>
      <c r="E47" s="1" t="s">
        <v>291</v>
      </c>
      <c r="F47" s="2" t="s">
        <v>292</v>
      </c>
      <c r="G47" s="2" t="s">
        <v>293</v>
      </c>
      <c r="H47" s="3" t="str">
        <f t="shared" si="1"/>
        <v>#NAME?</v>
      </c>
      <c r="I47" s="2" t="s">
        <v>294</v>
      </c>
      <c r="J47" s="4" t="s">
        <v>295</v>
      </c>
    </row>
    <row r="48">
      <c r="A48" s="1">
        <v>47.0</v>
      </c>
      <c r="B48" s="1" t="s">
        <v>296</v>
      </c>
      <c r="C48" s="1" t="s">
        <v>297</v>
      </c>
      <c r="E48" s="1" t="s">
        <v>298</v>
      </c>
      <c r="F48" s="2" t="s">
        <v>299</v>
      </c>
      <c r="G48" s="2" t="s">
        <v>300</v>
      </c>
      <c r="H48" s="3" t="str">
        <f t="shared" si="1"/>
        <v>#NAME?</v>
      </c>
      <c r="I48" s="2" t="s">
        <v>301</v>
      </c>
      <c r="J48" s="4" t="s">
        <v>302</v>
      </c>
    </row>
    <row r="49">
      <c r="A49" s="1">
        <v>48.0</v>
      </c>
      <c r="B49" s="1" t="s">
        <v>296</v>
      </c>
      <c r="C49" s="1" t="s">
        <v>303</v>
      </c>
      <c r="E49" s="1" t="s">
        <v>304</v>
      </c>
      <c r="F49" s="2" t="s">
        <v>305</v>
      </c>
      <c r="G49" s="2" t="s">
        <v>306</v>
      </c>
      <c r="H49" s="3" t="str">
        <f t="shared" si="1"/>
        <v>#NAME?</v>
      </c>
      <c r="I49" s="2" t="s">
        <v>307</v>
      </c>
      <c r="J49" s="4" t="s">
        <v>308</v>
      </c>
    </row>
    <row r="50">
      <c r="A50" s="1">
        <v>49.0</v>
      </c>
      <c r="B50" s="1" t="s">
        <v>309</v>
      </c>
      <c r="C50" s="1" t="s">
        <v>310</v>
      </c>
      <c r="E50" s="1" t="s">
        <v>310</v>
      </c>
      <c r="F50" s="2" t="s">
        <v>311</v>
      </c>
      <c r="G50" s="2" t="s">
        <v>312</v>
      </c>
      <c r="H50" s="3" t="str">
        <f t="shared" si="1"/>
        <v>#NAME?</v>
      </c>
      <c r="I50" s="2" t="s">
        <v>313</v>
      </c>
      <c r="J50" s="4" t="s">
        <v>308</v>
      </c>
    </row>
    <row r="51">
      <c r="A51" s="1">
        <v>50.0</v>
      </c>
      <c r="B51" s="1" t="s">
        <v>314</v>
      </c>
      <c r="C51" s="1" t="s">
        <v>315</v>
      </c>
      <c r="E51" s="1" t="s">
        <v>316</v>
      </c>
      <c r="F51" s="2" t="s">
        <v>317</v>
      </c>
      <c r="G51" s="2" t="s">
        <v>318</v>
      </c>
      <c r="H51" s="3" t="str">
        <f t="shared" si="1"/>
        <v>#NAME?</v>
      </c>
      <c r="I51" s="2" t="s">
        <v>319</v>
      </c>
      <c r="J51" s="4" t="s">
        <v>320</v>
      </c>
    </row>
    <row r="52">
      <c r="A52" s="1">
        <v>51.0</v>
      </c>
      <c r="B52" s="1" t="s">
        <v>321</v>
      </c>
      <c r="C52" s="1" t="s">
        <v>322</v>
      </c>
      <c r="E52" s="1" t="s">
        <v>323</v>
      </c>
      <c r="F52" s="2" t="s">
        <v>324</v>
      </c>
      <c r="G52" s="2" t="s">
        <v>325</v>
      </c>
      <c r="H52" s="3" t="str">
        <f t="shared" si="1"/>
        <v>#NAME?</v>
      </c>
      <c r="I52" s="2" t="s">
        <v>326</v>
      </c>
      <c r="J52" s="4" t="s">
        <v>327</v>
      </c>
    </row>
    <row r="53">
      <c r="A53" s="1">
        <v>52.0</v>
      </c>
      <c r="B53" s="1" t="s">
        <v>321</v>
      </c>
      <c r="C53" s="1" t="s">
        <v>328</v>
      </c>
      <c r="E53" s="1" t="s">
        <v>329</v>
      </c>
      <c r="F53" s="2" t="s">
        <v>324</v>
      </c>
      <c r="G53" s="2" t="s">
        <v>330</v>
      </c>
      <c r="H53" s="3" t="str">
        <f t="shared" si="1"/>
        <v>#NAME?</v>
      </c>
      <c r="I53" s="2" t="s">
        <v>331</v>
      </c>
      <c r="J53" s="4" t="s">
        <v>327</v>
      </c>
    </row>
    <row r="54">
      <c r="A54" s="1">
        <v>53.0</v>
      </c>
      <c r="B54" s="1" t="s">
        <v>321</v>
      </c>
      <c r="C54" s="1" t="s">
        <v>332</v>
      </c>
      <c r="E54" s="1" t="s">
        <v>333</v>
      </c>
      <c r="F54" s="2" t="s">
        <v>334</v>
      </c>
      <c r="G54" s="2" t="s">
        <v>335</v>
      </c>
      <c r="H54" s="3" t="str">
        <f t="shared" si="1"/>
        <v>#NAME?</v>
      </c>
      <c r="I54" s="2" t="s">
        <v>336</v>
      </c>
      <c r="J54" s="4" t="s">
        <v>327</v>
      </c>
    </row>
    <row r="55">
      <c r="A55" s="1">
        <v>54.0</v>
      </c>
      <c r="B55" s="1" t="s">
        <v>337</v>
      </c>
      <c r="C55" s="1" t="s">
        <v>338</v>
      </c>
      <c r="E55" s="1" t="s">
        <v>339</v>
      </c>
      <c r="F55" s="2" t="s">
        <v>340</v>
      </c>
      <c r="G55" s="2" t="s">
        <v>341</v>
      </c>
      <c r="H55" s="3" t="str">
        <f t="shared" si="1"/>
        <v>#NAME?</v>
      </c>
      <c r="I55" s="2" t="s">
        <v>342</v>
      </c>
      <c r="J55" s="4" t="s">
        <v>343</v>
      </c>
    </row>
    <row r="56">
      <c r="A56" s="1">
        <v>55.0</v>
      </c>
      <c r="B56" s="1" t="s">
        <v>337</v>
      </c>
      <c r="C56" s="1" t="s">
        <v>344</v>
      </c>
      <c r="E56" s="1" t="s">
        <v>345</v>
      </c>
      <c r="F56" s="2" t="s">
        <v>346</v>
      </c>
      <c r="G56" s="2" t="s">
        <v>347</v>
      </c>
      <c r="H56" s="3" t="str">
        <f t="shared" si="1"/>
        <v>#NAME?</v>
      </c>
      <c r="I56" s="2" t="s">
        <v>348</v>
      </c>
      <c r="J56" s="4" t="s">
        <v>343</v>
      </c>
    </row>
    <row r="57">
      <c r="A57" s="1">
        <v>56.0</v>
      </c>
      <c r="B57" s="1" t="s">
        <v>349</v>
      </c>
      <c r="C57" s="1" t="s">
        <v>350</v>
      </c>
      <c r="E57" s="1" t="s">
        <v>351</v>
      </c>
      <c r="F57" s="2" t="s">
        <v>352</v>
      </c>
      <c r="G57" s="2" t="s">
        <v>353</v>
      </c>
      <c r="H57" s="3" t="str">
        <f t="shared" si="1"/>
        <v>#NAME?</v>
      </c>
      <c r="I57" s="2" t="s">
        <v>354</v>
      </c>
      <c r="J57" s="4" t="s">
        <v>355</v>
      </c>
    </row>
    <row r="58">
      <c r="A58" s="1">
        <v>57.0</v>
      </c>
      <c r="B58" s="1" t="s">
        <v>356</v>
      </c>
      <c r="C58" s="1" t="s">
        <v>357</v>
      </c>
      <c r="E58" s="1" t="s">
        <v>358</v>
      </c>
      <c r="F58" s="2" t="s">
        <v>359</v>
      </c>
      <c r="G58" s="2" t="s">
        <v>360</v>
      </c>
      <c r="H58" s="3" t="str">
        <f t="shared" si="1"/>
        <v>#NAME?</v>
      </c>
      <c r="I58" s="2" t="s">
        <v>361</v>
      </c>
      <c r="J58" s="4" t="s">
        <v>362</v>
      </c>
    </row>
    <row r="59">
      <c r="A59" s="1">
        <v>58.0</v>
      </c>
      <c r="B59" s="1" t="s">
        <v>363</v>
      </c>
      <c r="C59" s="1" t="s">
        <v>364</v>
      </c>
      <c r="E59" s="1" t="s">
        <v>365</v>
      </c>
      <c r="F59" s="2" t="s">
        <v>366</v>
      </c>
      <c r="G59" s="2" t="s">
        <v>367</v>
      </c>
      <c r="H59" s="3" t="str">
        <f t="shared" si="1"/>
        <v>#NAME?</v>
      </c>
      <c r="I59" s="2" t="s">
        <v>368</v>
      </c>
      <c r="J59" s="4" t="s">
        <v>369</v>
      </c>
    </row>
    <row r="60">
      <c r="A60" s="1">
        <v>59.0</v>
      </c>
      <c r="B60" s="1" t="s">
        <v>370</v>
      </c>
      <c r="C60" s="1" t="s">
        <v>371</v>
      </c>
      <c r="E60" s="1" t="s">
        <v>372</v>
      </c>
      <c r="F60" s="2" t="s">
        <v>373</v>
      </c>
      <c r="G60" s="2" t="s">
        <v>374</v>
      </c>
      <c r="H60" s="3" t="str">
        <f t="shared" si="1"/>
        <v>#NAME?</v>
      </c>
      <c r="I60" s="2" t="s">
        <v>375</v>
      </c>
      <c r="J60" s="4" t="s">
        <v>376</v>
      </c>
    </row>
    <row r="61">
      <c r="A61" s="1">
        <v>60.0</v>
      </c>
      <c r="B61" s="1" t="s">
        <v>377</v>
      </c>
      <c r="C61" s="1" t="s">
        <v>378</v>
      </c>
      <c r="E61" s="1" t="s">
        <v>379</v>
      </c>
      <c r="F61" s="2" t="s">
        <v>380</v>
      </c>
      <c r="G61" s="2" t="s">
        <v>381</v>
      </c>
      <c r="H61" s="3" t="str">
        <f t="shared" si="1"/>
        <v>#NAME?</v>
      </c>
      <c r="I61" s="2" t="s">
        <v>382</v>
      </c>
      <c r="J61" s="4" t="s">
        <v>383</v>
      </c>
    </row>
    <row r="62">
      <c r="A62" s="1">
        <v>61.0</v>
      </c>
      <c r="B62" s="1" t="s">
        <v>384</v>
      </c>
      <c r="C62" s="1" t="s">
        <v>385</v>
      </c>
      <c r="E62" s="1" t="s">
        <v>386</v>
      </c>
      <c r="F62" s="2" t="s">
        <v>387</v>
      </c>
      <c r="G62" s="2" t="s">
        <v>388</v>
      </c>
      <c r="H62" s="3" t="str">
        <f t="shared" si="1"/>
        <v>#NAME?</v>
      </c>
      <c r="I62" s="2" t="s">
        <v>389</v>
      </c>
      <c r="J62" s="4" t="s">
        <v>390</v>
      </c>
    </row>
    <row r="63">
      <c r="A63" s="1">
        <v>62.0</v>
      </c>
      <c r="B63" s="1" t="s">
        <v>391</v>
      </c>
      <c r="C63" s="1" t="s">
        <v>392</v>
      </c>
      <c r="E63" s="1" t="s">
        <v>393</v>
      </c>
      <c r="F63" s="2" t="s">
        <v>394</v>
      </c>
      <c r="G63" s="2" t="s">
        <v>395</v>
      </c>
      <c r="H63" s="3" t="str">
        <f t="shared" si="1"/>
        <v>#NAME?</v>
      </c>
      <c r="I63" s="2" t="s">
        <v>396</v>
      </c>
      <c r="J63" s="4" t="s">
        <v>397</v>
      </c>
    </row>
    <row r="64">
      <c r="A64" s="1">
        <v>63.0</v>
      </c>
      <c r="B64" s="1" t="s">
        <v>391</v>
      </c>
      <c r="C64" s="1" t="s">
        <v>398</v>
      </c>
      <c r="E64" s="1" t="s">
        <v>399</v>
      </c>
      <c r="F64" s="2" t="s">
        <v>400</v>
      </c>
      <c r="G64" s="2" t="s">
        <v>401</v>
      </c>
      <c r="H64" s="3" t="str">
        <f t="shared" si="1"/>
        <v>#NAME?</v>
      </c>
      <c r="I64" s="2" t="s">
        <v>402</v>
      </c>
      <c r="J64" s="4" t="s">
        <v>397</v>
      </c>
    </row>
    <row r="65">
      <c r="A65" s="1">
        <v>64.0</v>
      </c>
      <c r="B65" s="1" t="s">
        <v>391</v>
      </c>
      <c r="C65" s="1" t="s">
        <v>403</v>
      </c>
      <c r="E65" s="1" t="s">
        <v>404</v>
      </c>
      <c r="F65" s="2" t="s">
        <v>405</v>
      </c>
      <c r="G65" s="2" t="s">
        <v>406</v>
      </c>
      <c r="H65" s="3" t="str">
        <f t="shared" si="1"/>
        <v>#NAME?</v>
      </c>
      <c r="I65" s="2" t="s">
        <v>407</v>
      </c>
      <c r="J65" s="4" t="s">
        <v>397</v>
      </c>
    </row>
    <row r="66">
      <c r="A66" s="1">
        <v>65.0</v>
      </c>
      <c r="B66" s="1" t="s">
        <v>391</v>
      </c>
      <c r="C66" s="1" t="s">
        <v>408</v>
      </c>
      <c r="E66" s="1" t="s">
        <v>409</v>
      </c>
      <c r="F66" s="2" t="s">
        <v>410</v>
      </c>
      <c r="G66" s="2" t="s">
        <v>411</v>
      </c>
      <c r="H66" s="3" t="str">
        <f t="shared" si="1"/>
        <v>#NAME?</v>
      </c>
      <c r="I66" s="2" t="s">
        <v>412</v>
      </c>
      <c r="J66" s="4" t="s">
        <v>397</v>
      </c>
    </row>
    <row r="67">
      <c r="A67" s="1">
        <v>66.0</v>
      </c>
      <c r="B67" s="1" t="s">
        <v>391</v>
      </c>
      <c r="C67" s="1" t="s">
        <v>413</v>
      </c>
      <c r="E67" s="1" t="s">
        <v>414</v>
      </c>
      <c r="F67" s="2" t="s">
        <v>415</v>
      </c>
      <c r="G67" s="2" t="s">
        <v>416</v>
      </c>
      <c r="H67" s="3" t="str">
        <f t="shared" si="1"/>
        <v>#NAME?</v>
      </c>
      <c r="I67" s="2" t="s">
        <v>417</v>
      </c>
      <c r="J67" s="4" t="s">
        <v>397</v>
      </c>
    </row>
    <row r="68">
      <c r="A68" s="1">
        <v>67.0</v>
      </c>
      <c r="B68" s="1" t="s">
        <v>418</v>
      </c>
      <c r="C68" s="1" t="s">
        <v>419</v>
      </c>
      <c r="E68" s="1" t="s">
        <v>420</v>
      </c>
      <c r="F68" s="2" t="s">
        <v>421</v>
      </c>
      <c r="G68" s="2" t="s">
        <v>422</v>
      </c>
      <c r="H68" s="3" t="str">
        <f t="shared" si="1"/>
        <v>#NAME?</v>
      </c>
      <c r="I68" s="2" t="s">
        <v>423</v>
      </c>
      <c r="J68" s="4" t="s">
        <v>397</v>
      </c>
    </row>
    <row r="69">
      <c r="A69" s="1">
        <v>68.0</v>
      </c>
      <c r="B69" s="1" t="s">
        <v>418</v>
      </c>
      <c r="C69" s="1" t="s">
        <v>424</v>
      </c>
      <c r="E69" s="1" t="s">
        <v>425</v>
      </c>
      <c r="F69" s="2" t="s">
        <v>426</v>
      </c>
      <c r="G69" s="2" t="s">
        <v>427</v>
      </c>
      <c r="H69" s="3" t="str">
        <f t="shared" si="1"/>
        <v>#NAME?</v>
      </c>
      <c r="I69" s="2" t="s">
        <v>428</v>
      </c>
      <c r="J69" s="4" t="s">
        <v>429</v>
      </c>
    </row>
    <row r="70">
      <c r="A70" s="1">
        <v>69.0</v>
      </c>
      <c r="B70" s="1" t="s">
        <v>430</v>
      </c>
      <c r="C70" s="1" t="s">
        <v>431</v>
      </c>
      <c r="E70" s="1" t="s">
        <v>432</v>
      </c>
      <c r="F70" s="2" t="s">
        <v>433</v>
      </c>
      <c r="G70" s="2" t="s">
        <v>434</v>
      </c>
      <c r="H70" s="3" t="str">
        <f t="shared" si="1"/>
        <v>#NAME?</v>
      </c>
      <c r="I70" s="2" t="s">
        <v>435</v>
      </c>
      <c r="J70" s="4" t="s">
        <v>436</v>
      </c>
    </row>
    <row r="71">
      <c r="A71" s="1">
        <v>70.0</v>
      </c>
      <c r="B71" s="1" t="s">
        <v>437</v>
      </c>
      <c r="C71" s="1" t="s">
        <v>438</v>
      </c>
      <c r="E71" s="1" t="s">
        <v>439</v>
      </c>
      <c r="F71" s="2" t="s">
        <v>440</v>
      </c>
      <c r="G71" s="2" t="s">
        <v>441</v>
      </c>
      <c r="H71" s="3" t="str">
        <f t="shared" si="1"/>
        <v>#NAME?</v>
      </c>
      <c r="I71" s="2" t="s">
        <v>442</v>
      </c>
      <c r="J71" s="4" t="s">
        <v>443</v>
      </c>
    </row>
    <row r="72">
      <c r="A72" s="1">
        <v>71.0</v>
      </c>
      <c r="B72" s="1" t="s">
        <v>444</v>
      </c>
      <c r="C72" s="1" t="s">
        <v>445</v>
      </c>
      <c r="E72" s="1" t="s">
        <v>446</v>
      </c>
      <c r="F72" s="2" t="s">
        <v>447</v>
      </c>
      <c r="G72" s="2" t="s">
        <v>448</v>
      </c>
      <c r="H72" s="3" t="str">
        <f t="shared" si="1"/>
        <v>#NAME?</v>
      </c>
      <c r="I72" s="2" t="s">
        <v>449</v>
      </c>
      <c r="J72" s="4" t="s">
        <v>450</v>
      </c>
    </row>
    <row r="73">
      <c r="A73" s="1">
        <v>72.0</v>
      </c>
      <c r="B73" s="1" t="s">
        <v>451</v>
      </c>
      <c r="C73" s="1" t="s">
        <v>452</v>
      </c>
      <c r="E73" s="1" t="s">
        <v>453</v>
      </c>
      <c r="F73" s="2" t="s">
        <v>454</v>
      </c>
      <c r="G73" s="2" t="s">
        <v>455</v>
      </c>
      <c r="H73" s="3" t="str">
        <f t="shared" si="1"/>
        <v>#NAME?</v>
      </c>
      <c r="I73" s="2" t="s">
        <v>456</v>
      </c>
      <c r="J73" s="4" t="s">
        <v>457</v>
      </c>
    </row>
    <row r="74">
      <c r="A74" s="1">
        <v>73.0</v>
      </c>
      <c r="B74" s="1" t="s">
        <v>458</v>
      </c>
      <c r="C74" s="1" t="s">
        <v>459</v>
      </c>
      <c r="E74" s="1" t="s">
        <v>460</v>
      </c>
      <c r="F74" s="2" t="s">
        <v>461</v>
      </c>
      <c r="G74" s="2" t="s">
        <v>462</v>
      </c>
      <c r="H74" s="3" t="str">
        <f t="shared" si="1"/>
        <v>#NAME?</v>
      </c>
      <c r="I74" s="2" t="s">
        <v>463</v>
      </c>
      <c r="J74" s="4" t="s">
        <v>464</v>
      </c>
    </row>
    <row r="75">
      <c r="A75" s="1">
        <v>74.0</v>
      </c>
      <c r="B75" s="1" t="s">
        <v>465</v>
      </c>
      <c r="C75" s="1" t="s">
        <v>466</v>
      </c>
      <c r="E75" s="1" t="s">
        <v>467</v>
      </c>
      <c r="F75" s="2" t="s">
        <v>468</v>
      </c>
      <c r="G75" s="2" t="s">
        <v>469</v>
      </c>
      <c r="H75" s="3" t="str">
        <f t="shared" si="1"/>
        <v>#NAME?</v>
      </c>
      <c r="I75" s="2" t="s">
        <v>470</v>
      </c>
      <c r="J75" s="4" t="s">
        <v>471</v>
      </c>
    </row>
    <row r="76">
      <c r="A76" s="1">
        <v>75.0</v>
      </c>
      <c r="B76" s="1" t="s">
        <v>472</v>
      </c>
      <c r="C76" s="1" t="s">
        <v>473</v>
      </c>
      <c r="E76" s="1" t="s">
        <v>474</v>
      </c>
      <c r="F76" s="2" t="s">
        <v>475</v>
      </c>
      <c r="G76" s="2" t="s">
        <v>476</v>
      </c>
      <c r="H76" s="3" t="str">
        <f t="shared" si="1"/>
        <v>#NAME?</v>
      </c>
      <c r="I76" s="2" t="s">
        <v>477</v>
      </c>
      <c r="J76" s="4" t="s">
        <v>478</v>
      </c>
    </row>
    <row r="77">
      <c r="A77" s="1">
        <v>76.0</v>
      </c>
      <c r="B77" s="1" t="s">
        <v>479</v>
      </c>
      <c r="C77" s="1" t="s">
        <v>480</v>
      </c>
      <c r="E77" s="1" t="s">
        <v>481</v>
      </c>
      <c r="F77" s="2" t="s">
        <v>482</v>
      </c>
      <c r="G77" s="2" t="s">
        <v>483</v>
      </c>
      <c r="H77" s="3" t="str">
        <f t="shared" si="1"/>
        <v>#NAME?</v>
      </c>
      <c r="I77" s="2" t="s">
        <v>484</v>
      </c>
      <c r="J77" s="4" t="s">
        <v>485</v>
      </c>
    </row>
    <row r="78">
      <c r="A78" s="1">
        <v>77.0</v>
      </c>
      <c r="B78" s="1" t="s">
        <v>486</v>
      </c>
      <c r="C78" s="1" t="s">
        <v>487</v>
      </c>
      <c r="E78" s="1" t="s">
        <v>488</v>
      </c>
      <c r="F78" s="2" t="s">
        <v>489</v>
      </c>
      <c r="G78" s="2" t="s">
        <v>490</v>
      </c>
      <c r="H78" s="3" t="str">
        <f t="shared" si="1"/>
        <v>#NAME?</v>
      </c>
      <c r="I78" s="2" t="s">
        <v>491</v>
      </c>
      <c r="J78" s="4" t="s">
        <v>492</v>
      </c>
    </row>
    <row r="79">
      <c r="A79" s="1">
        <v>78.0</v>
      </c>
      <c r="B79" s="1" t="s">
        <v>493</v>
      </c>
      <c r="C79" s="1" t="s">
        <v>494</v>
      </c>
      <c r="E79" s="1" t="s">
        <v>495</v>
      </c>
      <c r="F79" s="2" t="s">
        <v>496</v>
      </c>
      <c r="G79" s="2" t="s">
        <v>497</v>
      </c>
      <c r="H79" s="3" t="str">
        <f t="shared" si="1"/>
        <v>#NAME?</v>
      </c>
      <c r="I79" s="2" t="s">
        <v>498</v>
      </c>
      <c r="J79" s="4" t="s">
        <v>499</v>
      </c>
    </row>
    <row r="80">
      <c r="A80" s="1">
        <v>79.0</v>
      </c>
      <c r="B80" s="1" t="s">
        <v>500</v>
      </c>
      <c r="C80" s="1" t="s">
        <v>501</v>
      </c>
      <c r="E80" s="1" t="s">
        <v>502</v>
      </c>
      <c r="F80" s="2" t="s">
        <v>503</v>
      </c>
      <c r="G80" s="2" t="s">
        <v>504</v>
      </c>
      <c r="H80" s="3" t="str">
        <f t="shared" si="1"/>
        <v>#NAME?</v>
      </c>
      <c r="I80" s="2" t="s">
        <v>505</v>
      </c>
      <c r="J80" s="4" t="s">
        <v>506</v>
      </c>
    </row>
    <row r="81">
      <c r="A81" s="1">
        <v>80.0</v>
      </c>
      <c r="B81" s="1" t="s">
        <v>507</v>
      </c>
      <c r="C81" s="1" t="s">
        <v>508</v>
      </c>
      <c r="E81" s="1" t="s">
        <v>509</v>
      </c>
      <c r="F81" s="2" t="s">
        <v>510</v>
      </c>
      <c r="G81" s="2" t="s">
        <v>511</v>
      </c>
      <c r="H81" s="3" t="str">
        <f t="shared" si="1"/>
        <v>#NAME?</v>
      </c>
      <c r="I81" s="2" t="s">
        <v>512</v>
      </c>
      <c r="J81" s="4" t="s">
        <v>513</v>
      </c>
    </row>
    <row r="82">
      <c r="A82" s="1">
        <v>81.0</v>
      </c>
      <c r="B82" s="1" t="s">
        <v>514</v>
      </c>
      <c r="C82" s="1" t="s">
        <v>515</v>
      </c>
      <c r="E82" s="1" t="s">
        <v>516</v>
      </c>
      <c r="F82" s="2" t="s">
        <v>517</v>
      </c>
      <c r="G82" s="2" t="s">
        <v>518</v>
      </c>
      <c r="H82" s="3" t="str">
        <f t="shared" si="1"/>
        <v>#NAME?</v>
      </c>
      <c r="I82" s="2" t="s">
        <v>519</v>
      </c>
      <c r="J82" s="4" t="s">
        <v>520</v>
      </c>
    </row>
    <row r="83">
      <c r="A83" s="1">
        <v>82.0</v>
      </c>
      <c r="B83" s="1" t="s">
        <v>521</v>
      </c>
      <c r="C83" s="1" t="s">
        <v>522</v>
      </c>
      <c r="E83" s="1" t="s">
        <v>523</v>
      </c>
      <c r="F83" s="2" t="s">
        <v>524</v>
      </c>
      <c r="G83" s="2" t="s">
        <v>525</v>
      </c>
      <c r="H83" s="3" t="str">
        <f t="shared" si="1"/>
        <v>#NAME?</v>
      </c>
      <c r="I83" s="2" t="s">
        <v>526</v>
      </c>
      <c r="J83" s="4" t="s">
        <v>527</v>
      </c>
    </row>
    <row r="84">
      <c r="A84" s="1">
        <v>83.0</v>
      </c>
      <c r="B84" s="1" t="s">
        <v>528</v>
      </c>
      <c r="C84" s="1" t="s">
        <v>529</v>
      </c>
      <c r="E84" s="1" t="s">
        <v>530</v>
      </c>
      <c r="F84" s="2" t="s">
        <v>531</v>
      </c>
      <c r="G84" s="2" t="s">
        <v>532</v>
      </c>
      <c r="H84" s="3" t="str">
        <f t="shared" si="1"/>
        <v>#NAME?</v>
      </c>
      <c r="I84" s="2" t="s">
        <v>533</v>
      </c>
      <c r="J84" s="4" t="s">
        <v>534</v>
      </c>
    </row>
    <row r="85">
      <c r="A85" s="1">
        <v>84.0</v>
      </c>
      <c r="B85" s="1" t="s">
        <v>528</v>
      </c>
      <c r="C85" s="1" t="s">
        <v>535</v>
      </c>
      <c r="E85" s="1" t="s">
        <v>536</v>
      </c>
      <c r="F85" s="2" t="s">
        <v>537</v>
      </c>
      <c r="G85" s="2" t="s">
        <v>538</v>
      </c>
      <c r="H85" s="3" t="str">
        <f t="shared" si="1"/>
        <v>#NAME?</v>
      </c>
      <c r="I85" s="2" t="s">
        <v>539</v>
      </c>
      <c r="J85" s="4" t="s">
        <v>534</v>
      </c>
    </row>
    <row r="86">
      <c r="A86" s="1">
        <v>85.0</v>
      </c>
      <c r="B86" s="1" t="s">
        <v>540</v>
      </c>
      <c r="C86" s="1" t="s">
        <v>541</v>
      </c>
      <c r="E86" s="1" t="s">
        <v>542</v>
      </c>
      <c r="F86" s="2" t="s">
        <v>543</v>
      </c>
      <c r="G86" s="2" t="s">
        <v>544</v>
      </c>
      <c r="H86" s="3" t="str">
        <f t="shared" si="1"/>
        <v>#NAME?</v>
      </c>
      <c r="I86" s="2" t="s">
        <v>545</v>
      </c>
      <c r="J86" s="4" t="s">
        <v>546</v>
      </c>
    </row>
    <row r="87">
      <c r="A87" s="1">
        <v>86.0</v>
      </c>
      <c r="B87" s="1" t="s">
        <v>547</v>
      </c>
      <c r="C87" s="1" t="s">
        <v>548</v>
      </c>
      <c r="E87" s="1" t="s">
        <v>549</v>
      </c>
      <c r="F87" s="2" t="s">
        <v>550</v>
      </c>
      <c r="G87" s="2" t="s">
        <v>551</v>
      </c>
      <c r="H87" s="3" t="str">
        <f t="shared" si="1"/>
        <v>#NAME?</v>
      </c>
      <c r="I87" s="2" t="s">
        <v>552</v>
      </c>
      <c r="J87" s="4" t="s">
        <v>553</v>
      </c>
    </row>
    <row r="88">
      <c r="A88" s="1">
        <v>87.0</v>
      </c>
      <c r="B88" s="1" t="s">
        <v>554</v>
      </c>
      <c r="C88" s="1" t="s">
        <v>555</v>
      </c>
      <c r="E88" s="1" t="s">
        <v>556</v>
      </c>
      <c r="F88" s="2" t="s">
        <v>557</v>
      </c>
      <c r="G88" s="2" t="s">
        <v>558</v>
      </c>
      <c r="H88" s="3" t="str">
        <f t="shared" si="1"/>
        <v>#NAME?</v>
      </c>
      <c r="I88" s="2" t="s">
        <v>559</v>
      </c>
      <c r="J88" s="4" t="s">
        <v>560</v>
      </c>
    </row>
    <row r="89">
      <c r="A89" s="1">
        <v>88.0</v>
      </c>
      <c r="B89" s="1" t="s">
        <v>561</v>
      </c>
      <c r="C89" s="1" t="s">
        <v>562</v>
      </c>
      <c r="E89" s="1" t="s">
        <v>563</v>
      </c>
      <c r="F89" s="2" t="s">
        <v>564</v>
      </c>
      <c r="G89" s="2" t="s">
        <v>565</v>
      </c>
      <c r="H89" s="3" t="str">
        <f t="shared" si="1"/>
        <v>#NAME?</v>
      </c>
      <c r="I89" s="2" t="s">
        <v>566</v>
      </c>
      <c r="J89" s="4" t="s">
        <v>567</v>
      </c>
    </row>
    <row r="90">
      <c r="A90" s="1">
        <v>89.0</v>
      </c>
      <c r="B90" s="1" t="s">
        <v>568</v>
      </c>
      <c r="C90" s="1" t="s">
        <v>569</v>
      </c>
      <c r="E90" s="1" t="s">
        <v>570</v>
      </c>
      <c r="F90" s="2" t="s">
        <v>571</v>
      </c>
      <c r="G90" s="2" t="s">
        <v>572</v>
      </c>
      <c r="H90" s="3" t="str">
        <f t="shared" si="1"/>
        <v>#NAME?</v>
      </c>
      <c r="I90" s="2" t="s">
        <v>573</v>
      </c>
      <c r="J90" s="4" t="s">
        <v>574</v>
      </c>
    </row>
    <row r="91">
      <c r="A91" s="1">
        <v>90.0</v>
      </c>
      <c r="B91" s="1" t="s">
        <v>568</v>
      </c>
      <c r="C91" s="1" t="s">
        <v>569</v>
      </c>
      <c r="E91" s="1" t="s">
        <v>570</v>
      </c>
      <c r="F91" s="2" t="s">
        <v>575</v>
      </c>
      <c r="G91" s="2" t="s">
        <v>576</v>
      </c>
      <c r="H91" s="3" t="str">
        <f t="shared" si="1"/>
        <v>#NAME?</v>
      </c>
      <c r="I91" s="2" t="s">
        <v>577</v>
      </c>
      <c r="J91" s="4" t="s">
        <v>574</v>
      </c>
    </row>
    <row r="92">
      <c r="A92" s="1">
        <v>91.0</v>
      </c>
      <c r="B92" s="1" t="s">
        <v>568</v>
      </c>
      <c r="C92" s="1" t="s">
        <v>578</v>
      </c>
      <c r="E92" s="1" t="s">
        <v>579</v>
      </c>
      <c r="F92" s="2" t="s">
        <v>580</v>
      </c>
      <c r="G92" s="2" t="s">
        <v>581</v>
      </c>
      <c r="H92" s="3" t="str">
        <f t="shared" si="1"/>
        <v>#NAME?</v>
      </c>
      <c r="I92" s="2" t="s">
        <v>582</v>
      </c>
      <c r="J92" s="4" t="s">
        <v>574</v>
      </c>
    </row>
    <row r="93">
      <c r="A93" s="1">
        <v>92.0</v>
      </c>
      <c r="B93" s="1" t="s">
        <v>583</v>
      </c>
      <c r="C93" s="1" t="s">
        <v>584</v>
      </c>
      <c r="E93" s="1" t="s">
        <v>585</v>
      </c>
      <c r="F93" s="2" t="s">
        <v>586</v>
      </c>
      <c r="G93" s="2" t="s">
        <v>587</v>
      </c>
      <c r="H93" s="3" t="str">
        <f t="shared" si="1"/>
        <v>#NAME?</v>
      </c>
      <c r="I93" s="2" t="s">
        <v>588</v>
      </c>
      <c r="J93" s="4" t="s">
        <v>589</v>
      </c>
    </row>
    <row r="94">
      <c r="A94" s="1">
        <v>93.0</v>
      </c>
      <c r="B94" s="1" t="s">
        <v>590</v>
      </c>
      <c r="C94" s="1" t="s">
        <v>591</v>
      </c>
      <c r="E94" s="1" t="s">
        <v>591</v>
      </c>
      <c r="F94" s="2" t="s">
        <v>592</v>
      </c>
      <c r="G94" s="2" t="s">
        <v>593</v>
      </c>
      <c r="H94" s="3" t="str">
        <f t="shared" si="1"/>
        <v>#NAME?</v>
      </c>
      <c r="I94" s="2" t="s">
        <v>594</v>
      </c>
      <c r="J94" s="4" t="s">
        <v>595</v>
      </c>
    </row>
    <row r="95">
      <c r="A95" s="1">
        <v>94.0</v>
      </c>
      <c r="B95" s="1" t="s">
        <v>590</v>
      </c>
      <c r="C95" s="1" t="s">
        <v>596</v>
      </c>
      <c r="E95" s="1" t="s">
        <v>597</v>
      </c>
      <c r="F95" s="2" t="s">
        <v>592</v>
      </c>
      <c r="G95" s="2" t="s">
        <v>598</v>
      </c>
      <c r="H95" s="3" t="str">
        <f t="shared" si="1"/>
        <v>#NAME?</v>
      </c>
      <c r="I95" s="2" t="s">
        <v>594</v>
      </c>
      <c r="J95" s="4" t="s">
        <v>595</v>
      </c>
    </row>
    <row r="96">
      <c r="A96" s="1">
        <v>95.0</v>
      </c>
      <c r="B96" s="1" t="s">
        <v>599</v>
      </c>
      <c r="C96" s="1" t="s">
        <v>600</v>
      </c>
      <c r="E96" s="1" t="s">
        <v>600</v>
      </c>
      <c r="F96" s="2" t="s">
        <v>601</v>
      </c>
      <c r="G96" s="2" t="s">
        <v>602</v>
      </c>
      <c r="H96" s="3" t="str">
        <f t="shared" si="1"/>
        <v>#NAME?</v>
      </c>
      <c r="I96" s="2" t="s">
        <v>603</v>
      </c>
      <c r="J96" s="4" t="s">
        <v>604</v>
      </c>
    </row>
    <row r="97">
      <c r="A97" s="1">
        <v>96.0</v>
      </c>
      <c r="B97" s="1" t="s">
        <v>599</v>
      </c>
      <c r="C97" s="1" t="s">
        <v>605</v>
      </c>
      <c r="E97" s="1" t="s">
        <v>606</v>
      </c>
      <c r="F97" s="2" t="s">
        <v>601</v>
      </c>
      <c r="G97" s="2" t="s">
        <v>607</v>
      </c>
      <c r="H97" s="3" t="str">
        <f t="shared" si="1"/>
        <v>#NAME?</v>
      </c>
      <c r="I97" s="2" t="s">
        <v>608</v>
      </c>
      <c r="J97" s="4" t="s">
        <v>604</v>
      </c>
    </row>
    <row r="98">
      <c r="A98" s="1">
        <v>97.0</v>
      </c>
      <c r="B98" s="1" t="s">
        <v>609</v>
      </c>
      <c r="C98" s="1" t="s">
        <v>610</v>
      </c>
      <c r="E98" s="1" t="s">
        <v>611</v>
      </c>
      <c r="F98" s="2" t="s">
        <v>612</v>
      </c>
      <c r="G98" s="2" t="s">
        <v>613</v>
      </c>
      <c r="H98" s="3" t="str">
        <f t="shared" si="1"/>
        <v>#NAME?</v>
      </c>
      <c r="I98" s="2" t="s">
        <v>614</v>
      </c>
      <c r="J98" s="4" t="s">
        <v>615</v>
      </c>
    </row>
    <row r="99">
      <c r="A99" s="1">
        <v>98.0</v>
      </c>
      <c r="B99" s="1" t="s">
        <v>616</v>
      </c>
      <c r="C99" s="1" t="s">
        <v>617</v>
      </c>
      <c r="E99" s="1" t="s">
        <v>618</v>
      </c>
      <c r="F99" s="2" t="s">
        <v>619</v>
      </c>
      <c r="G99" s="2" t="s">
        <v>620</v>
      </c>
      <c r="H99" s="3" t="str">
        <f t="shared" si="1"/>
        <v>#NAME?</v>
      </c>
      <c r="I99" s="2" t="s">
        <v>621</v>
      </c>
      <c r="J99" s="4" t="s">
        <v>622</v>
      </c>
    </row>
    <row r="100">
      <c r="A100" s="1">
        <v>99.0</v>
      </c>
      <c r="B100" s="1" t="s">
        <v>623</v>
      </c>
      <c r="C100" s="1" t="s">
        <v>624</v>
      </c>
      <c r="E100" s="1" t="s">
        <v>625</v>
      </c>
      <c r="F100" s="2" t="s">
        <v>626</v>
      </c>
      <c r="G100" s="2" t="s">
        <v>627</v>
      </c>
      <c r="H100" s="3" t="str">
        <f t="shared" si="1"/>
        <v>#NAME?</v>
      </c>
      <c r="I100" s="2" t="s">
        <v>628</v>
      </c>
      <c r="J100" s="4" t="s">
        <v>629</v>
      </c>
    </row>
    <row r="101">
      <c r="A101" s="1">
        <v>100.0</v>
      </c>
      <c r="B101" s="1" t="s">
        <v>623</v>
      </c>
      <c r="C101" s="1" t="s">
        <v>630</v>
      </c>
      <c r="E101" s="1" t="s">
        <v>631</v>
      </c>
      <c r="F101" s="2" t="s">
        <v>632</v>
      </c>
      <c r="G101" s="2" t="s">
        <v>633</v>
      </c>
      <c r="H101" s="3" t="str">
        <f t="shared" si="1"/>
        <v>#NAME?</v>
      </c>
      <c r="I101" s="2" t="s">
        <v>634</v>
      </c>
      <c r="J101" s="4" t="s">
        <v>629</v>
      </c>
    </row>
    <row r="102">
      <c r="A102" s="1">
        <v>101.0</v>
      </c>
      <c r="B102" s="1" t="s">
        <v>635</v>
      </c>
      <c r="C102" s="1" t="s">
        <v>636</v>
      </c>
      <c r="E102" s="1" t="s">
        <v>637</v>
      </c>
      <c r="F102" s="2" t="s">
        <v>638</v>
      </c>
      <c r="G102" s="2" t="s">
        <v>639</v>
      </c>
      <c r="H102" s="3" t="str">
        <f t="shared" si="1"/>
        <v>#NAME?</v>
      </c>
      <c r="I102" s="2" t="s">
        <v>640</v>
      </c>
      <c r="J102" s="4" t="s">
        <v>641</v>
      </c>
    </row>
    <row r="103">
      <c r="A103" s="1">
        <v>102.0</v>
      </c>
      <c r="B103" s="1" t="s">
        <v>642</v>
      </c>
      <c r="C103" s="1" t="s">
        <v>643</v>
      </c>
      <c r="E103" s="1" t="s">
        <v>644</v>
      </c>
      <c r="F103" s="2" t="s">
        <v>645</v>
      </c>
      <c r="G103" s="2" t="s">
        <v>646</v>
      </c>
      <c r="H103" s="3" t="str">
        <f t="shared" si="1"/>
        <v>#NAME?</v>
      </c>
      <c r="I103" s="2" t="s">
        <v>647</v>
      </c>
      <c r="J103" s="4" t="s">
        <v>648</v>
      </c>
    </row>
    <row r="104">
      <c r="A104" s="1">
        <v>103.0</v>
      </c>
      <c r="B104" s="1" t="s">
        <v>649</v>
      </c>
      <c r="C104" s="1" t="s">
        <v>650</v>
      </c>
      <c r="E104" s="1" t="s">
        <v>651</v>
      </c>
      <c r="F104" s="2" t="s">
        <v>652</v>
      </c>
      <c r="G104" s="2" t="s">
        <v>653</v>
      </c>
      <c r="H104" s="3" t="str">
        <f t="shared" si="1"/>
        <v>#NAME?</v>
      </c>
      <c r="I104" s="2" t="s">
        <v>654</v>
      </c>
      <c r="J104" s="4" t="s">
        <v>655</v>
      </c>
    </row>
    <row r="105">
      <c r="A105" s="1">
        <v>104.0</v>
      </c>
      <c r="B105" s="1" t="s">
        <v>649</v>
      </c>
      <c r="C105" s="1" t="s">
        <v>656</v>
      </c>
      <c r="E105" s="1" t="s">
        <v>657</v>
      </c>
      <c r="F105" s="2" t="s">
        <v>658</v>
      </c>
      <c r="G105" s="2" t="s">
        <v>659</v>
      </c>
      <c r="H105" s="3" t="str">
        <f t="shared" si="1"/>
        <v>#NAME?</v>
      </c>
      <c r="I105" s="2" t="s">
        <v>660</v>
      </c>
      <c r="J105" s="4" t="s">
        <v>655</v>
      </c>
    </row>
    <row r="106">
      <c r="A106" s="1">
        <v>105.0</v>
      </c>
      <c r="B106" s="1" t="s">
        <v>661</v>
      </c>
      <c r="C106" s="1" t="s">
        <v>662</v>
      </c>
      <c r="E106" s="1" t="s">
        <v>663</v>
      </c>
      <c r="F106" s="2" t="s">
        <v>664</v>
      </c>
      <c r="G106" s="2" t="s">
        <v>665</v>
      </c>
      <c r="H106" s="3" t="str">
        <f t="shared" si="1"/>
        <v>#NAME?</v>
      </c>
      <c r="I106" s="2" t="s">
        <v>666</v>
      </c>
      <c r="J106" s="4" t="s">
        <v>667</v>
      </c>
    </row>
    <row r="107">
      <c r="A107" s="1">
        <v>106.0</v>
      </c>
      <c r="B107" s="1" t="s">
        <v>668</v>
      </c>
      <c r="C107" s="1" t="s">
        <v>669</v>
      </c>
      <c r="E107" s="1" t="s">
        <v>670</v>
      </c>
      <c r="F107" s="2" t="s">
        <v>671</v>
      </c>
      <c r="G107" s="2" t="s">
        <v>672</v>
      </c>
      <c r="H107" s="3" t="str">
        <f t="shared" si="1"/>
        <v>#NAME?</v>
      </c>
      <c r="I107" s="2" t="s">
        <v>673</v>
      </c>
      <c r="J107" s="4" t="s">
        <v>674</v>
      </c>
    </row>
    <row r="108">
      <c r="A108" s="1">
        <v>107.0</v>
      </c>
      <c r="B108" s="1" t="s">
        <v>668</v>
      </c>
      <c r="C108" s="1" t="s">
        <v>675</v>
      </c>
      <c r="E108" s="1" t="s">
        <v>676</v>
      </c>
      <c r="F108" s="2" t="s">
        <v>671</v>
      </c>
      <c r="G108" s="2" t="s">
        <v>677</v>
      </c>
      <c r="H108" s="3" t="str">
        <f t="shared" si="1"/>
        <v>#NAME?</v>
      </c>
      <c r="I108" s="2" t="s">
        <v>678</v>
      </c>
      <c r="J108" s="4" t="s">
        <v>674</v>
      </c>
    </row>
    <row r="109">
      <c r="A109" s="1">
        <v>108.0</v>
      </c>
      <c r="B109" s="1" t="s">
        <v>679</v>
      </c>
      <c r="C109" s="1" t="s">
        <v>680</v>
      </c>
      <c r="E109" s="1" t="s">
        <v>681</v>
      </c>
      <c r="F109" s="2" t="s">
        <v>682</v>
      </c>
      <c r="G109" s="2" t="s">
        <v>683</v>
      </c>
      <c r="H109" s="3" t="str">
        <f t="shared" si="1"/>
        <v>#NAME?</v>
      </c>
      <c r="I109" s="2" t="s">
        <v>684</v>
      </c>
      <c r="J109" s="4" t="s">
        <v>685</v>
      </c>
    </row>
    <row r="110">
      <c r="A110" s="1">
        <v>109.0</v>
      </c>
      <c r="B110" s="1" t="s">
        <v>679</v>
      </c>
      <c r="C110" s="1" t="s">
        <v>686</v>
      </c>
      <c r="E110" s="1" t="s">
        <v>687</v>
      </c>
      <c r="F110" s="2" t="s">
        <v>682</v>
      </c>
      <c r="G110" s="2" t="s">
        <v>688</v>
      </c>
      <c r="H110" s="3" t="str">
        <f t="shared" si="1"/>
        <v>#NAME?</v>
      </c>
      <c r="I110" s="2" t="s">
        <v>684</v>
      </c>
      <c r="J110" s="4" t="s">
        <v>685</v>
      </c>
    </row>
    <row r="111">
      <c r="A111" s="1">
        <v>110.0</v>
      </c>
      <c r="B111" s="1" t="s">
        <v>689</v>
      </c>
      <c r="C111" s="1" t="s">
        <v>690</v>
      </c>
      <c r="E111" s="1" t="s">
        <v>691</v>
      </c>
      <c r="F111" s="2" t="s">
        <v>692</v>
      </c>
      <c r="G111" s="2" t="s">
        <v>693</v>
      </c>
      <c r="H111" s="3" t="str">
        <f t="shared" si="1"/>
        <v>#NAME?</v>
      </c>
      <c r="I111" s="2" t="s">
        <v>694</v>
      </c>
      <c r="J111" s="4" t="s">
        <v>695</v>
      </c>
    </row>
    <row r="112">
      <c r="A112" s="1">
        <v>111.0</v>
      </c>
      <c r="B112" s="1" t="s">
        <v>689</v>
      </c>
      <c r="C112" s="1" t="s">
        <v>696</v>
      </c>
      <c r="E112" s="1" t="s">
        <v>697</v>
      </c>
      <c r="F112" s="2" t="s">
        <v>698</v>
      </c>
      <c r="G112" s="2" t="s">
        <v>699</v>
      </c>
      <c r="H112" s="3" t="str">
        <f t="shared" si="1"/>
        <v>#NAME?</v>
      </c>
      <c r="I112" s="2" t="s">
        <v>700</v>
      </c>
      <c r="J112" s="4" t="s">
        <v>695</v>
      </c>
    </row>
    <row r="113">
      <c r="A113" s="1">
        <v>112.0</v>
      </c>
      <c r="B113" s="1" t="s">
        <v>701</v>
      </c>
      <c r="C113" s="1" t="s">
        <v>702</v>
      </c>
      <c r="E113" s="1" t="s">
        <v>703</v>
      </c>
      <c r="F113" s="2" t="s">
        <v>704</v>
      </c>
      <c r="G113" s="2" t="s">
        <v>705</v>
      </c>
      <c r="H113" s="3" t="str">
        <f t="shared" si="1"/>
        <v>#NAME?</v>
      </c>
      <c r="I113" s="2" t="s">
        <v>706</v>
      </c>
      <c r="J113" s="4" t="s">
        <v>707</v>
      </c>
    </row>
    <row r="114">
      <c r="A114" s="1">
        <v>113.0</v>
      </c>
      <c r="B114" s="1" t="s">
        <v>708</v>
      </c>
      <c r="C114" s="1" t="s">
        <v>709</v>
      </c>
      <c r="E114" s="1" t="s">
        <v>710</v>
      </c>
      <c r="F114" s="2" t="s">
        <v>711</v>
      </c>
      <c r="G114" s="2" t="s">
        <v>712</v>
      </c>
      <c r="H114" s="3" t="str">
        <f t="shared" si="1"/>
        <v>#NAME?</v>
      </c>
      <c r="I114" s="2" t="s">
        <v>713</v>
      </c>
      <c r="J114" s="4" t="s">
        <v>714</v>
      </c>
    </row>
    <row r="115">
      <c r="A115" s="1">
        <v>114.0</v>
      </c>
      <c r="B115" s="1" t="s">
        <v>715</v>
      </c>
      <c r="C115" s="1" t="s">
        <v>716</v>
      </c>
      <c r="E115" s="1" t="s">
        <v>717</v>
      </c>
      <c r="F115" s="2" t="s">
        <v>718</v>
      </c>
      <c r="G115" s="2" t="s">
        <v>719</v>
      </c>
      <c r="H115" s="3" t="str">
        <f t="shared" si="1"/>
        <v>#NAME?</v>
      </c>
      <c r="I115" s="2" t="s">
        <v>720</v>
      </c>
      <c r="J115" s="4" t="s">
        <v>721</v>
      </c>
    </row>
    <row r="116">
      <c r="A116" s="1">
        <v>115.0</v>
      </c>
      <c r="B116" s="1" t="s">
        <v>715</v>
      </c>
      <c r="C116" s="1" t="s">
        <v>722</v>
      </c>
      <c r="E116" s="1" t="s">
        <v>723</v>
      </c>
      <c r="F116" s="2" t="s">
        <v>724</v>
      </c>
      <c r="G116" s="2" t="s">
        <v>725</v>
      </c>
      <c r="H116" s="3" t="str">
        <f t="shared" si="1"/>
        <v>#NAME?</v>
      </c>
      <c r="I116" s="2" t="s">
        <v>726</v>
      </c>
      <c r="J116" s="4" t="s">
        <v>721</v>
      </c>
    </row>
    <row r="117">
      <c r="A117" s="1">
        <v>116.0</v>
      </c>
      <c r="B117" s="1" t="s">
        <v>727</v>
      </c>
      <c r="C117" s="1" t="s">
        <v>728</v>
      </c>
      <c r="E117" s="1" t="s">
        <v>729</v>
      </c>
      <c r="F117" s="2" t="s">
        <v>730</v>
      </c>
      <c r="G117" s="2" t="s">
        <v>731</v>
      </c>
      <c r="H117" s="3" t="str">
        <f t="shared" si="1"/>
        <v>#NAME?</v>
      </c>
      <c r="I117" s="2" t="s">
        <v>732</v>
      </c>
      <c r="J117" s="4" t="s">
        <v>733</v>
      </c>
    </row>
    <row r="118">
      <c r="A118" s="1">
        <v>117.0</v>
      </c>
      <c r="B118" s="1" t="s">
        <v>734</v>
      </c>
      <c r="C118" s="1" t="s">
        <v>735</v>
      </c>
      <c r="E118" s="1" t="s">
        <v>736</v>
      </c>
      <c r="F118" s="2" t="s">
        <v>737</v>
      </c>
      <c r="G118" s="2" t="s">
        <v>738</v>
      </c>
      <c r="H118" s="3" t="str">
        <f t="shared" si="1"/>
        <v>#NAME?</v>
      </c>
      <c r="I118" s="2" t="s">
        <v>739</v>
      </c>
      <c r="J118" s="4" t="s">
        <v>740</v>
      </c>
    </row>
    <row r="119">
      <c r="A119" s="1">
        <v>118.0</v>
      </c>
      <c r="B119" s="1" t="s">
        <v>734</v>
      </c>
      <c r="C119" s="1" t="s">
        <v>741</v>
      </c>
      <c r="E119" s="1" t="s">
        <v>742</v>
      </c>
      <c r="F119" s="2" t="s">
        <v>743</v>
      </c>
      <c r="G119" s="2" t="s">
        <v>744</v>
      </c>
      <c r="H119" s="3" t="str">
        <f t="shared" si="1"/>
        <v>#NAME?</v>
      </c>
      <c r="I119" s="2" t="s">
        <v>745</v>
      </c>
      <c r="J119" s="4" t="s">
        <v>740</v>
      </c>
    </row>
    <row r="120">
      <c r="A120" s="1">
        <v>119.0</v>
      </c>
      <c r="B120" s="1" t="s">
        <v>746</v>
      </c>
      <c r="C120" s="1" t="s">
        <v>747</v>
      </c>
      <c r="E120" s="1" t="s">
        <v>748</v>
      </c>
      <c r="F120" s="2" t="s">
        <v>749</v>
      </c>
      <c r="G120" s="2" t="s">
        <v>750</v>
      </c>
      <c r="H120" s="3" t="str">
        <f t="shared" si="1"/>
        <v>#NAME?</v>
      </c>
      <c r="I120" s="2" t="s">
        <v>751</v>
      </c>
      <c r="J120" s="4" t="s">
        <v>752</v>
      </c>
    </row>
    <row r="121">
      <c r="A121" s="1">
        <v>120.0</v>
      </c>
      <c r="B121" s="1" t="s">
        <v>753</v>
      </c>
      <c r="C121" s="1" t="s">
        <v>754</v>
      </c>
      <c r="E121" s="1" t="s">
        <v>755</v>
      </c>
      <c r="F121" s="2" t="s">
        <v>756</v>
      </c>
      <c r="G121" s="2" t="s">
        <v>757</v>
      </c>
      <c r="H121" s="3" t="str">
        <f t="shared" si="1"/>
        <v>#NAME?</v>
      </c>
      <c r="I121" s="2" t="s">
        <v>758</v>
      </c>
      <c r="J121" s="4" t="s">
        <v>759</v>
      </c>
    </row>
    <row r="122">
      <c r="A122" s="1">
        <v>121.0</v>
      </c>
      <c r="B122" s="1" t="s">
        <v>760</v>
      </c>
      <c r="C122" s="1" t="s">
        <v>761</v>
      </c>
      <c r="E122" s="1" t="s">
        <v>762</v>
      </c>
      <c r="F122" s="2" t="s">
        <v>763</v>
      </c>
      <c r="G122" s="2" t="s">
        <v>764</v>
      </c>
      <c r="H122" s="3" t="str">
        <f t="shared" si="1"/>
        <v>#NAME?</v>
      </c>
      <c r="I122" s="2" t="s">
        <v>765</v>
      </c>
      <c r="J122" s="4" t="s">
        <v>766</v>
      </c>
    </row>
    <row r="123">
      <c r="A123" s="1">
        <v>122.0</v>
      </c>
      <c r="B123" s="1" t="s">
        <v>767</v>
      </c>
      <c r="C123" s="1" t="s">
        <v>768</v>
      </c>
      <c r="E123" s="1" t="s">
        <v>769</v>
      </c>
      <c r="F123" s="2" t="s">
        <v>770</v>
      </c>
      <c r="G123" s="2" t="s">
        <v>771</v>
      </c>
      <c r="H123" s="3" t="str">
        <f t="shared" si="1"/>
        <v>#NAME?</v>
      </c>
      <c r="I123" s="2" t="s">
        <v>772</v>
      </c>
      <c r="J123" s="4" t="s">
        <v>773</v>
      </c>
    </row>
    <row r="124">
      <c r="A124" s="1">
        <v>123.0</v>
      </c>
      <c r="B124" s="1" t="s">
        <v>774</v>
      </c>
      <c r="C124" s="1" t="s">
        <v>775</v>
      </c>
      <c r="E124" s="1" t="s">
        <v>776</v>
      </c>
      <c r="F124" s="2" t="s">
        <v>777</v>
      </c>
      <c r="G124" s="2" t="s">
        <v>778</v>
      </c>
      <c r="H124" s="3" t="str">
        <f t="shared" si="1"/>
        <v>#NAME?</v>
      </c>
      <c r="I124" s="2" t="s">
        <v>779</v>
      </c>
      <c r="J124" s="4" t="s">
        <v>780</v>
      </c>
    </row>
    <row r="125">
      <c r="A125" s="1">
        <v>124.0</v>
      </c>
      <c r="B125" s="1" t="s">
        <v>774</v>
      </c>
      <c r="C125" s="1" t="s">
        <v>781</v>
      </c>
      <c r="E125" s="1" t="s">
        <v>782</v>
      </c>
      <c r="F125" s="2" t="s">
        <v>783</v>
      </c>
      <c r="G125" s="2" t="s">
        <v>784</v>
      </c>
      <c r="H125" s="3" t="str">
        <f t="shared" si="1"/>
        <v>#NAME?</v>
      </c>
      <c r="I125" s="2" t="s">
        <v>785</v>
      </c>
      <c r="J125" s="4" t="s">
        <v>780</v>
      </c>
    </row>
    <row r="126">
      <c r="A126" s="1">
        <v>125.0</v>
      </c>
      <c r="B126" s="1" t="s">
        <v>786</v>
      </c>
      <c r="C126" s="1" t="s">
        <v>787</v>
      </c>
      <c r="E126" s="1" t="s">
        <v>788</v>
      </c>
      <c r="F126" s="2" t="s">
        <v>789</v>
      </c>
      <c r="G126" s="2" t="s">
        <v>790</v>
      </c>
      <c r="H126" s="3" t="str">
        <f t="shared" si="1"/>
        <v>#NAME?</v>
      </c>
      <c r="I126" s="2" t="s">
        <v>791</v>
      </c>
      <c r="J126" s="4" t="s">
        <v>792</v>
      </c>
    </row>
    <row r="127">
      <c r="A127" s="1">
        <v>126.0</v>
      </c>
      <c r="B127" s="1" t="s">
        <v>793</v>
      </c>
      <c r="C127" s="1" t="s">
        <v>794</v>
      </c>
      <c r="E127" s="1" t="s">
        <v>795</v>
      </c>
      <c r="F127" s="2" t="s">
        <v>796</v>
      </c>
      <c r="G127" s="2" t="s">
        <v>797</v>
      </c>
      <c r="H127" s="3" t="str">
        <f t="shared" si="1"/>
        <v>#NAME?</v>
      </c>
      <c r="I127" s="2" t="s">
        <v>798</v>
      </c>
      <c r="J127" s="4" t="s">
        <v>799</v>
      </c>
    </row>
    <row r="128">
      <c r="A128" s="1">
        <v>127.0</v>
      </c>
      <c r="B128" s="1" t="s">
        <v>793</v>
      </c>
      <c r="C128" s="1" t="s">
        <v>800</v>
      </c>
      <c r="E128" s="1" t="s">
        <v>801</v>
      </c>
      <c r="F128" s="2" t="s">
        <v>796</v>
      </c>
      <c r="G128" s="2" t="s">
        <v>802</v>
      </c>
      <c r="H128" s="3" t="str">
        <f t="shared" si="1"/>
        <v>#NAME?</v>
      </c>
      <c r="I128" s="2" t="s">
        <v>803</v>
      </c>
      <c r="J128" s="4" t="s">
        <v>799</v>
      </c>
    </row>
    <row r="129">
      <c r="A129" s="1">
        <v>128.0</v>
      </c>
      <c r="B129" s="1" t="s">
        <v>793</v>
      </c>
      <c r="C129" s="1" t="s">
        <v>804</v>
      </c>
      <c r="E129" s="1" t="s">
        <v>805</v>
      </c>
      <c r="F129" s="2" t="s">
        <v>796</v>
      </c>
      <c r="G129" s="2" t="s">
        <v>806</v>
      </c>
      <c r="H129" s="3" t="str">
        <f t="shared" si="1"/>
        <v>#NAME?</v>
      </c>
      <c r="I129" s="2" t="s">
        <v>807</v>
      </c>
      <c r="J129" s="4" t="s">
        <v>799</v>
      </c>
    </row>
    <row r="130">
      <c r="A130" s="1">
        <v>129.0</v>
      </c>
      <c r="B130" s="1" t="s">
        <v>793</v>
      </c>
      <c r="C130" s="1" t="s">
        <v>808</v>
      </c>
      <c r="E130" s="1" t="s">
        <v>809</v>
      </c>
      <c r="F130" s="2" t="s">
        <v>796</v>
      </c>
      <c r="G130" s="2" t="s">
        <v>810</v>
      </c>
      <c r="H130" s="3" t="str">
        <f t="shared" si="1"/>
        <v>#NAME?</v>
      </c>
      <c r="I130" s="2" t="s">
        <v>811</v>
      </c>
      <c r="J130" s="4" t="s">
        <v>799</v>
      </c>
    </row>
    <row r="131">
      <c r="A131" s="1">
        <v>130.0</v>
      </c>
      <c r="B131" s="1" t="s">
        <v>812</v>
      </c>
      <c r="C131" s="1" t="s">
        <v>813</v>
      </c>
      <c r="E131" s="1" t="s">
        <v>814</v>
      </c>
      <c r="F131" s="2" t="s">
        <v>815</v>
      </c>
      <c r="G131" s="2" t="s">
        <v>816</v>
      </c>
      <c r="H131" s="3" t="str">
        <f t="shared" si="1"/>
        <v>#NAME?</v>
      </c>
      <c r="I131" s="2" t="s">
        <v>817</v>
      </c>
      <c r="J131" s="4" t="s">
        <v>818</v>
      </c>
    </row>
    <row r="132">
      <c r="A132" s="1">
        <v>131.0</v>
      </c>
      <c r="B132" s="1" t="s">
        <v>819</v>
      </c>
      <c r="C132" s="1" t="s">
        <v>820</v>
      </c>
      <c r="E132" s="1" t="s">
        <v>821</v>
      </c>
      <c r="F132" s="2" t="s">
        <v>822</v>
      </c>
      <c r="G132" s="2" t="s">
        <v>823</v>
      </c>
      <c r="H132" s="3" t="str">
        <f t="shared" si="1"/>
        <v>#NAME?</v>
      </c>
      <c r="I132" s="2" t="s">
        <v>824</v>
      </c>
      <c r="J132" s="4" t="s">
        <v>825</v>
      </c>
    </row>
    <row r="133">
      <c r="A133" s="1">
        <v>132.0</v>
      </c>
      <c r="B133" s="1" t="s">
        <v>819</v>
      </c>
      <c r="C133" s="1" t="s">
        <v>826</v>
      </c>
      <c r="E133" s="1" t="s">
        <v>827</v>
      </c>
      <c r="F133" s="2" t="s">
        <v>828</v>
      </c>
      <c r="G133" s="2" t="s">
        <v>829</v>
      </c>
      <c r="H133" s="3" t="str">
        <f t="shared" si="1"/>
        <v>#NAME?</v>
      </c>
      <c r="I133" s="2" t="s">
        <v>830</v>
      </c>
      <c r="J133" s="4" t="s">
        <v>825</v>
      </c>
    </row>
    <row r="134">
      <c r="A134" s="1">
        <v>133.0</v>
      </c>
      <c r="B134" s="1" t="s">
        <v>819</v>
      </c>
      <c r="C134" s="1" t="s">
        <v>831</v>
      </c>
      <c r="E134" s="1" t="s">
        <v>832</v>
      </c>
      <c r="F134" s="2" t="s">
        <v>833</v>
      </c>
      <c r="G134" s="2" t="s">
        <v>834</v>
      </c>
      <c r="H134" s="3" t="str">
        <f t="shared" si="1"/>
        <v>#NAME?</v>
      </c>
      <c r="I134" s="2" t="s">
        <v>835</v>
      </c>
      <c r="J134" s="4" t="s">
        <v>825</v>
      </c>
    </row>
    <row r="135">
      <c r="A135" s="1">
        <v>134.0</v>
      </c>
      <c r="B135" s="1" t="s">
        <v>836</v>
      </c>
      <c r="C135" s="1" t="s">
        <v>837</v>
      </c>
      <c r="E135" s="1" t="s">
        <v>838</v>
      </c>
      <c r="F135" s="2" t="s">
        <v>839</v>
      </c>
      <c r="G135" s="2" t="s">
        <v>840</v>
      </c>
      <c r="H135" s="3" t="str">
        <f t="shared" si="1"/>
        <v>#NAME?</v>
      </c>
      <c r="I135" s="2" t="s">
        <v>841</v>
      </c>
      <c r="J135" s="4" t="s">
        <v>842</v>
      </c>
    </row>
    <row r="136">
      <c r="A136" s="1">
        <v>135.0</v>
      </c>
      <c r="B136" s="1" t="s">
        <v>836</v>
      </c>
      <c r="C136" s="1" t="s">
        <v>843</v>
      </c>
      <c r="E136" s="1" t="s">
        <v>844</v>
      </c>
      <c r="F136" s="2" t="s">
        <v>845</v>
      </c>
      <c r="G136" s="2" t="s">
        <v>846</v>
      </c>
      <c r="H136" s="3" t="str">
        <f t="shared" si="1"/>
        <v>#NAME?</v>
      </c>
      <c r="I136" s="2" t="s">
        <v>847</v>
      </c>
      <c r="J136" s="4" t="s">
        <v>842</v>
      </c>
    </row>
    <row r="137">
      <c r="A137" s="1">
        <v>136.0</v>
      </c>
      <c r="B137" s="1" t="s">
        <v>848</v>
      </c>
      <c r="C137" s="1" t="s">
        <v>849</v>
      </c>
      <c r="E137" s="1" t="s">
        <v>850</v>
      </c>
      <c r="F137" s="2" t="s">
        <v>851</v>
      </c>
      <c r="G137" s="2" t="s">
        <v>852</v>
      </c>
      <c r="H137" s="3" t="str">
        <f t="shared" si="1"/>
        <v>#NAME?</v>
      </c>
      <c r="I137" s="2" t="s">
        <v>853</v>
      </c>
      <c r="J137" s="4" t="s">
        <v>854</v>
      </c>
    </row>
    <row r="138">
      <c r="A138" s="1">
        <v>137.0</v>
      </c>
      <c r="B138" s="1" t="s">
        <v>855</v>
      </c>
      <c r="C138" s="1" t="s">
        <v>856</v>
      </c>
      <c r="E138" s="1" t="s">
        <v>857</v>
      </c>
      <c r="F138" s="2" t="s">
        <v>858</v>
      </c>
      <c r="G138" s="2" t="s">
        <v>859</v>
      </c>
      <c r="H138" s="3" t="str">
        <f t="shared" si="1"/>
        <v>#NAME?</v>
      </c>
      <c r="I138" s="2" t="s">
        <v>860</v>
      </c>
      <c r="J138" s="4" t="s">
        <v>861</v>
      </c>
    </row>
    <row r="139">
      <c r="A139" s="8">
        <v>138.0</v>
      </c>
      <c r="B139" s="8" t="s">
        <v>862</v>
      </c>
      <c r="C139" s="8" t="s">
        <v>863</v>
      </c>
      <c r="D139" s="9"/>
      <c r="E139" s="8" t="s">
        <v>864</v>
      </c>
      <c r="F139" s="10" t="s">
        <v>865</v>
      </c>
      <c r="G139" s="10" t="s">
        <v>866</v>
      </c>
      <c r="H139" s="3" t="str">
        <f t="shared" si="1"/>
        <v>#NAME?</v>
      </c>
      <c r="I139" s="10" t="s">
        <v>867</v>
      </c>
      <c r="J139" s="11" t="s">
        <v>868</v>
      </c>
      <c r="K139" s="9"/>
      <c r="L139" s="9"/>
    </row>
    <row r="140">
      <c r="A140" s="1">
        <v>139.0</v>
      </c>
      <c r="B140" s="1" t="s">
        <v>869</v>
      </c>
      <c r="C140" s="1" t="s">
        <v>870</v>
      </c>
      <c r="E140" s="1" t="s">
        <v>871</v>
      </c>
      <c r="F140" s="2" t="s">
        <v>872</v>
      </c>
      <c r="G140" s="2" t="s">
        <v>873</v>
      </c>
      <c r="H140" s="3" t="str">
        <f t="shared" si="1"/>
        <v>#NAME?</v>
      </c>
      <c r="I140" s="2" t="s">
        <v>874</v>
      </c>
      <c r="J140" s="4" t="s">
        <v>875</v>
      </c>
    </row>
    <row r="141">
      <c r="A141" s="1">
        <v>140.0</v>
      </c>
      <c r="B141" s="1" t="s">
        <v>869</v>
      </c>
      <c r="C141" s="1" t="s">
        <v>876</v>
      </c>
      <c r="E141" s="1" t="s">
        <v>877</v>
      </c>
      <c r="F141" s="2" t="s">
        <v>878</v>
      </c>
      <c r="G141" s="2" t="s">
        <v>879</v>
      </c>
      <c r="H141" s="3" t="str">
        <f t="shared" si="1"/>
        <v>#NAME?</v>
      </c>
      <c r="I141" s="2" t="s">
        <v>880</v>
      </c>
      <c r="J141" s="4" t="s">
        <v>875</v>
      </c>
    </row>
    <row r="142">
      <c r="A142" s="1">
        <v>141.0</v>
      </c>
      <c r="B142" s="1" t="s">
        <v>881</v>
      </c>
      <c r="C142" s="1" t="s">
        <v>882</v>
      </c>
      <c r="E142" s="1" t="s">
        <v>883</v>
      </c>
      <c r="F142" s="2" t="s">
        <v>884</v>
      </c>
      <c r="G142" s="2" t="s">
        <v>885</v>
      </c>
      <c r="H142" s="3" t="str">
        <f t="shared" si="1"/>
        <v>#NAME?</v>
      </c>
      <c r="I142" s="2" t="s">
        <v>886</v>
      </c>
      <c r="J142" s="4" t="s">
        <v>887</v>
      </c>
    </row>
    <row r="143">
      <c r="A143" s="1">
        <v>142.0</v>
      </c>
      <c r="B143" s="1" t="s">
        <v>888</v>
      </c>
      <c r="C143" s="1" t="s">
        <v>889</v>
      </c>
      <c r="E143" s="1" t="s">
        <v>890</v>
      </c>
      <c r="F143" s="2" t="s">
        <v>891</v>
      </c>
      <c r="G143" s="2" t="s">
        <v>892</v>
      </c>
      <c r="H143" s="3" t="str">
        <f t="shared" si="1"/>
        <v>#NAME?</v>
      </c>
      <c r="I143" s="2" t="s">
        <v>893</v>
      </c>
      <c r="J143" s="4" t="s">
        <v>894</v>
      </c>
    </row>
    <row r="144">
      <c r="A144" s="1">
        <v>143.0</v>
      </c>
      <c r="B144" s="1" t="s">
        <v>888</v>
      </c>
      <c r="C144" s="1" t="s">
        <v>895</v>
      </c>
      <c r="E144" s="1" t="s">
        <v>896</v>
      </c>
      <c r="F144" s="2" t="s">
        <v>897</v>
      </c>
      <c r="G144" s="2" t="s">
        <v>898</v>
      </c>
      <c r="H144" s="3" t="str">
        <f t="shared" si="1"/>
        <v>#NAME?</v>
      </c>
      <c r="I144" s="2" t="s">
        <v>899</v>
      </c>
      <c r="J144" s="4" t="s">
        <v>894</v>
      </c>
    </row>
    <row r="145">
      <c r="A145" s="1">
        <v>144.0</v>
      </c>
      <c r="B145" s="1" t="s">
        <v>888</v>
      </c>
      <c r="C145" s="1" t="s">
        <v>900</v>
      </c>
      <c r="E145" s="1" t="s">
        <v>901</v>
      </c>
      <c r="F145" s="2" t="s">
        <v>902</v>
      </c>
      <c r="G145" s="2" t="s">
        <v>903</v>
      </c>
      <c r="H145" s="3" t="str">
        <f t="shared" si="1"/>
        <v>#NAME?</v>
      </c>
      <c r="I145" s="2" t="s">
        <v>904</v>
      </c>
      <c r="J145" s="4" t="s">
        <v>894</v>
      </c>
    </row>
    <row r="146">
      <c r="A146" s="1">
        <v>145.0</v>
      </c>
      <c r="B146" s="1" t="s">
        <v>888</v>
      </c>
      <c r="C146" s="1" t="s">
        <v>905</v>
      </c>
      <c r="E146" s="1" t="s">
        <v>906</v>
      </c>
      <c r="F146" s="2" t="s">
        <v>907</v>
      </c>
      <c r="G146" s="2" t="s">
        <v>908</v>
      </c>
      <c r="H146" s="3" t="str">
        <f t="shared" si="1"/>
        <v>#NAME?</v>
      </c>
      <c r="I146" s="2" t="s">
        <v>909</v>
      </c>
      <c r="J146" s="4" t="s">
        <v>894</v>
      </c>
    </row>
    <row r="147">
      <c r="A147" s="1">
        <v>146.0</v>
      </c>
      <c r="B147" s="1" t="s">
        <v>910</v>
      </c>
      <c r="C147" s="1" t="s">
        <v>60</v>
      </c>
      <c r="E147" s="1" t="s">
        <v>61</v>
      </c>
      <c r="F147" s="2" t="s">
        <v>911</v>
      </c>
      <c r="G147" s="2" t="s">
        <v>912</v>
      </c>
      <c r="H147" s="3" t="str">
        <f t="shared" si="1"/>
        <v>#NAME?</v>
      </c>
      <c r="I147" s="2" t="s">
        <v>913</v>
      </c>
      <c r="J147" s="4" t="s">
        <v>914</v>
      </c>
    </row>
    <row r="148">
      <c r="A148" s="1">
        <v>147.0</v>
      </c>
      <c r="B148" s="1" t="s">
        <v>915</v>
      </c>
      <c r="C148" s="1" t="s">
        <v>916</v>
      </c>
      <c r="E148" s="1" t="s">
        <v>917</v>
      </c>
      <c r="F148" s="2" t="s">
        <v>918</v>
      </c>
      <c r="G148" s="2" t="s">
        <v>919</v>
      </c>
      <c r="H148" s="3" t="str">
        <f t="shared" si="1"/>
        <v>#NAME?</v>
      </c>
      <c r="I148" s="2" t="s">
        <v>920</v>
      </c>
      <c r="J148" s="4" t="s">
        <v>921</v>
      </c>
    </row>
    <row r="149">
      <c r="A149" s="1">
        <v>148.0</v>
      </c>
      <c r="B149" s="1" t="s">
        <v>915</v>
      </c>
      <c r="C149" s="1" t="s">
        <v>922</v>
      </c>
      <c r="E149" s="1" t="s">
        <v>923</v>
      </c>
      <c r="F149" s="2" t="s">
        <v>924</v>
      </c>
      <c r="G149" s="2" t="s">
        <v>925</v>
      </c>
      <c r="H149" s="3" t="str">
        <f t="shared" si="1"/>
        <v>#NAME?</v>
      </c>
      <c r="I149" s="2" t="s">
        <v>926</v>
      </c>
      <c r="J149" s="4" t="s">
        <v>921</v>
      </c>
    </row>
    <row r="150">
      <c r="A150" s="1">
        <v>149.0</v>
      </c>
      <c r="B150" s="1" t="s">
        <v>927</v>
      </c>
      <c r="C150" s="1" t="s">
        <v>928</v>
      </c>
      <c r="E150" s="1" t="s">
        <v>929</v>
      </c>
      <c r="F150" s="2" t="s">
        <v>930</v>
      </c>
      <c r="G150" s="2" t="s">
        <v>931</v>
      </c>
      <c r="H150" s="3" t="str">
        <f t="shared" si="1"/>
        <v>#NAME?</v>
      </c>
      <c r="I150" s="2" t="s">
        <v>932</v>
      </c>
      <c r="J150" s="4" t="s">
        <v>933</v>
      </c>
    </row>
    <row r="151">
      <c r="A151" s="1">
        <v>150.0</v>
      </c>
      <c r="B151" s="1" t="s">
        <v>927</v>
      </c>
      <c r="C151" s="1" t="s">
        <v>934</v>
      </c>
      <c r="E151" s="1" t="s">
        <v>935</v>
      </c>
      <c r="F151" s="2" t="s">
        <v>936</v>
      </c>
      <c r="G151" s="2" t="s">
        <v>937</v>
      </c>
      <c r="H151" s="3" t="str">
        <f t="shared" si="1"/>
        <v>#NAME?</v>
      </c>
      <c r="I151" s="2" t="s">
        <v>938</v>
      </c>
      <c r="J151" s="4" t="s">
        <v>933</v>
      </c>
    </row>
    <row r="152">
      <c r="A152" s="1">
        <v>151.0</v>
      </c>
      <c r="B152" s="1" t="s">
        <v>939</v>
      </c>
      <c r="C152" s="1" t="s">
        <v>940</v>
      </c>
      <c r="E152" s="1" t="s">
        <v>941</v>
      </c>
      <c r="F152" s="2" t="s">
        <v>942</v>
      </c>
      <c r="G152" s="2" t="s">
        <v>943</v>
      </c>
      <c r="H152" s="3" t="str">
        <f t="shared" si="1"/>
        <v>#NAME?</v>
      </c>
      <c r="I152" s="2" t="s">
        <v>944</v>
      </c>
      <c r="J152" s="4" t="s">
        <v>945</v>
      </c>
    </row>
    <row r="153">
      <c r="A153" s="1">
        <v>152.0</v>
      </c>
      <c r="B153" s="1" t="s">
        <v>939</v>
      </c>
      <c r="C153" s="1" t="s">
        <v>946</v>
      </c>
      <c r="E153" s="1" t="s">
        <v>947</v>
      </c>
      <c r="F153" s="2" t="s">
        <v>948</v>
      </c>
      <c r="G153" s="2" t="s">
        <v>949</v>
      </c>
      <c r="H153" s="3" t="str">
        <f t="shared" si="1"/>
        <v>#NAME?</v>
      </c>
      <c r="I153" s="2" t="s">
        <v>950</v>
      </c>
      <c r="J153" s="4" t="s">
        <v>945</v>
      </c>
    </row>
    <row r="154">
      <c r="A154" s="1">
        <v>153.0</v>
      </c>
      <c r="B154" s="1" t="s">
        <v>951</v>
      </c>
      <c r="C154" s="1" t="s">
        <v>952</v>
      </c>
      <c r="E154" s="1" t="s">
        <v>953</v>
      </c>
      <c r="F154" s="2" t="s">
        <v>954</v>
      </c>
      <c r="G154" s="2" t="s">
        <v>955</v>
      </c>
      <c r="H154" s="3" t="str">
        <f t="shared" si="1"/>
        <v>#NAME?</v>
      </c>
      <c r="I154" s="2" t="s">
        <v>956</v>
      </c>
      <c r="J154" s="4" t="s">
        <v>957</v>
      </c>
    </row>
    <row r="155">
      <c r="A155" s="8">
        <v>154.0</v>
      </c>
      <c r="B155" s="8" t="s">
        <v>951</v>
      </c>
      <c r="C155" s="8" t="s">
        <v>958</v>
      </c>
      <c r="D155" s="9"/>
      <c r="E155" s="8" t="s">
        <v>959</v>
      </c>
      <c r="F155" s="10" t="s">
        <v>960</v>
      </c>
      <c r="G155" s="10" t="s">
        <v>961</v>
      </c>
      <c r="H155" s="3" t="str">
        <f t="shared" si="1"/>
        <v>#NAME?</v>
      </c>
      <c r="I155" s="10" t="s">
        <v>962</v>
      </c>
      <c r="J155" s="11" t="s">
        <v>957</v>
      </c>
      <c r="K155" s="9"/>
      <c r="L155" s="9"/>
    </row>
    <row r="156">
      <c r="A156" s="1">
        <v>155.0</v>
      </c>
      <c r="B156" s="1" t="s">
        <v>951</v>
      </c>
      <c r="C156" s="1" t="s">
        <v>963</v>
      </c>
      <c r="E156" s="1" t="s">
        <v>964</v>
      </c>
      <c r="F156" s="2" t="s">
        <v>965</v>
      </c>
      <c r="G156" s="2" t="s">
        <v>966</v>
      </c>
      <c r="H156" s="3" t="str">
        <f t="shared" si="1"/>
        <v>#NAME?</v>
      </c>
      <c r="I156" s="2" t="s">
        <v>967</v>
      </c>
      <c r="J156" s="4" t="s">
        <v>957</v>
      </c>
    </row>
    <row r="157">
      <c r="A157" s="1">
        <v>156.0</v>
      </c>
      <c r="B157" s="1" t="s">
        <v>951</v>
      </c>
      <c r="C157" s="1" t="s">
        <v>968</v>
      </c>
      <c r="E157" s="1" t="s">
        <v>969</v>
      </c>
      <c r="F157" s="2" t="s">
        <v>970</v>
      </c>
      <c r="G157" s="2" t="s">
        <v>971</v>
      </c>
      <c r="H157" s="3" t="str">
        <f t="shared" si="1"/>
        <v>#NAME?</v>
      </c>
      <c r="I157" s="2" t="s">
        <v>972</v>
      </c>
      <c r="J157" s="4" t="s">
        <v>957</v>
      </c>
    </row>
    <row r="158">
      <c r="A158" s="8">
        <v>157.0</v>
      </c>
      <c r="B158" s="8" t="s">
        <v>973</v>
      </c>
      <c r="C158" s="8" t="s">
        <v>569</v>
      </c>
      <c r="D158" s="9"/>
      <c r="E158" s="8" t="s">
        <v>570</v>
      </c>
      <c r="F158" s="10" t="s">
        <v>974</v>
      </c>
      <c r="G158" s="10" t="s">
        <v>975</v>
      </c>
      <c r="H158" s="12" t="str">
        <f t="shared" si="1"/>
        <v>#NAME?</v>
      </c>
      <c r="I158" s="10" t="s">
        <v>976</v>
      </c>
      <c r="J158" s="11" t="s">
        <v>977</v>
      </c>
      <c r="K158" s="9"/>
      <c r="L158" s="9"/>
    </row>
    <row r="159">
      <c r="A159" s="8">
        <v>158.0</v>
      </c>
      <c r="B159" s="8" t="s">
        <v>973</v>
      </c>
      <c r="C159" s="8" t="s">
        <v>978</v>
      </c>
      <c r="D159" s="9"/>
      <c r="E159" s="8" t="s">
        <v>979</v>
      </c>
      <c r="F159" s="10" t="s">
        <v>980</v>
      </c>
      <c r="G159" s="10" t="s">
        <v>981</v>
      </c>
      <c r="H159" s="12" t="str">
        <f t="shared" si="1"/>
        <v>#NAME?</v>
      </c>
      <c r="I159" s="10" t="s">
        <v>982</v>
      </c>
      <c r="J159" s="11" t="s">
        <v>977</v>
      </c>
      <c r="K159" s="9"/>
      <c r="L159" s="9"/>
    </row>
    <row r="160">
      <c r="A160" s="8">
        <v>159.0</v>
      </c>
      <c r="B160" s="8" t="s">
        <v>983</v>
      </c>
      <c r="C160" s="8" t="s">
        <v>984</v>
      </c>
      <c r="D160" s="9"/>
      <c r="E160" s="8" t="s">
        <v>985</v>
      </c>
      <c r="F160" s="10" t="s">
        <v>986</v>
      </c>
      <c r="G160" s="10" t="s">
        <v>987</v>
      </c>
      <c r="H160" s="12" t="str">
        <f t="shared" si="1"/>
        <v>#NAME?</v>
      </c>
      <c r="I160" s="10" t="s">
        <v>988</v>
      </c>
      <c r="J160" s="11" t="s">
        <v>989</v>
      </c>
      <c r="K160" s="9"/>
      <c r="L160" s="9"/>
    </row>
    <row r="161">
      <c r="A161" s="8">
        <v>160.0</v>
      </c>
      <c r="B161" s="8" t="s">
        <v>983</v>
      </c>
      <c r="C161" s="8" t="s">
        <v>990</v>
      </c>
      <c r="D161" s="9"/>
      <c r="E161" s="8" t="s">
        <v>991</v>
      </c>
      <c r="F161" s="10" t="s">
        <v>992</v>
      </c>
      <c r="G161" s="10" t="s">
        <v>993</v>
      </c>
      <c r="H161" s="12" t="str">
        <f t="shared" si="1"/>
        <v>#NAME?</v>
      </c>
      <c r="I161" s="10" t="s">
        <v>994</v>
      </c>
      <c r="J161" s="11" t="s">
        <v>989</v>
      </c>
      <c r="K161" s="9"/>
      <c r="L161" s="9"/>
    </row>
    <row r="162">
      <c r="A162" s="8">
        <v>161.0</v>
      </c>
      <c r="B162" s="8" t="s">
        <v>995</v>
      </c>
      <c r="C162" s="8" t="s">
        <v>996</v>
      </c>
      <c r="D162" s="9"/>
      <c r="E162" s="8" t="s">
        <v>997</v>
      </c>
      <c r="F162" s="10" t="s">
        <v>998</v>
      </c>
      <c r="G162" s="10" t="s">
        <v>999</v>
      </c>
      <c r="H162" s="12" t="str">
        <f t="shared" si="1"/>
        <v>#NAME?</v>
      </c>
      <c r="I162" s="10" t="s">
        <v>1000</v>
      </c>
      <c r="J162" s="11" t="s">
        <v>1001</v>
      </c>
      <c r="K162" s="9"/>
      <c r="L162" s="9"/>
    </row>
    <row r="163">
      <c r="A163" s="8">
        <v>162.0</v>
      </c>
      <c r="B163" s="8" t="s">
        <v>1002</v>
      </c>
      <c r="C163" s="8" t="s">
        <v>1003</v>
      </c>
      <c r="D163" s="9"/>
      <c r="E163" s="8" t="s">
        <v>1004</v>
      </c>
      <c r="F163" s="10" t="s">
        <v>1005</v>
      </c>
      <c r="G163" s="10" t="s">
        <v>1006</v>
      </c>
      <c r="H163" s="12" t="str">
        <f t="shared" si="1"/>
        <v>#NAME?</v>
      </c>
      <c r="I163" s="10" t="s">
        <v>1007</v>
      </c>
      <c r="J163" s="11" t="s">
        <v>1008</v>
      </c>
      <c r="K163" s="9"/>
      <c r="L163" s="9"/>
    </row>
    <row r="164">
      <c r="A164" s="8">
        <v>163.0</v>
      </c>
      <c r="B164" s="8" t="s">
        <v>1002</v>
      </c>
      <c r="C164" s="8" t="s">
        <v>1009</v>
      </c>
      <c r="D164" s="9"/>
      <c r="E164" s="8" t="s">
        <v>1010</v>
      </c>
      <c r="F164" s="10" t="s">
        <v>1011</v>
      </c>
      <c r="G164" s="10" t="s">
        <v>1012</v>
      </c>
      <c r="H164" s="12" t="str">
        <f t="shared" si="1"/>
        <v>#NAME?</v>
      </c>
      <c r="I164" s="10" t="s">
        <v>1013</v>
      </c>
      <c r="J164" s="11" t="s">
        <v>1008</v>
      </c>
      <c r="K164" s="9"/>
      <c r="L164" s="9"/>
    </row>
    <row r="165">
      <c r="A165" s="1">
        <v>164.0</v>
      </c>
      <c r="B165" s="1" t="s">
        <v>1014</v>
      </c>
      <c r="C165" s="1" t="s">
        <v>1015</v>
      </c>
      <c r="E165" s="1" t="s">
        <v>1016</v>
      </c>
      <c r="F165" s="2" t="s">
        <v>1017</v>
      </c>
      <c r="G165" s="2" t="s">
        <v>1018</v>
      </c>
      <c r="H165" s="3" t="str">
        <f t="shared" si="1"/>
        <v>#NAME?</v>
      </c>
      <c r="I165" s="2" t="s">
        <v>1019</v>
      </c>
      <c r="J165" s="4" t="s">
        <v>1020</v>
      </c>
    </row>
    <row r="166">
      <c r="A166" s="1">
        <v>165.0</v>
      </c>
      <c r="B166" s="1" t="s">
        <v>1014</v>
      </c>
      <c r="C166" s="1" t="s">
        <v>1021</v>
      </c>
      <c r="E166" s="1" t="s">
        <v>1022</v>
      </c>
      <c r="F166" s="2" t="s">
        <v>1023</v>
      </c>
      <c r="G166" s="2" t="s">
        <v>1024</v>
      </c>
      <c r="H166" s="3" t="str">
        <f t="shared" si="1"/>
        <v>#NAME?</v>
      </c>
      <c r="I166" s="2" t="s">
        <v>1025</v>
      </c>
      <c r="J166" s="4" t="s">
        <v>1020</v>
      </c>
    </row>
    <row r="167">
      <c r="A167" s="1">
        <v>166.0</v>
      </c>
      <c r="B167" s="1" t="s">
        <v>1014</v>
      </c>
      <c r="C167" s="1" t="s">
        <v>1026</v>
      </c>
      <c r="E167" s="1" t="s">
        <v>1027</v>
      </c>
      <c r="F167" s="2" t="s">
        <v>1028</v>
      </c>
      <c r="G167" s="2" t="s">
        <v>1029</v>
      </c>
      <c r="H167" s="3" t="str">
        <f t="shared" si="1"/>
        <v>#NAME?</v>
      </c>
      <c r="I167" s="2" t="s">
        <v>1030</v>
      </c>
      <c r="J167" s="4" t="s">
        <v>1020</v>
      </c>
    </row>
    <row r="168">
      <c r="A168" s="1">
        <v>167.0</v>
      </c>
      <c r="B168" s="1" t="s">
        <v>1031</v>
      </c>
      <c r="C168" s="1" t="s">
        <v>1032</v>
      </c>
      <c r="E168" s="1" t="s">
        <v>1032</v>
      </c>
      <c r="F168" s="2" t="s">
        <v>1033</v>
      </c>
      <c r="G168" s="2" t="s">
        <v>1034</v>
      </c>
      <c r="H168" s="3" t="str">
        <f t="shared" si="1"/>
        <v>#NAME?</v>
      </c>
      <c r="I168" s="2" t="s">
        <v>1035</v>
      </c>
      <c r="J168" s="4" t="s">
        <v>1036</v>
      </c>
    </row>
    <row r="169">
      <c r="A169" s="1">
        <v>168.0</v>
      </c>
      <c r="B169" s="1" t="s">
        <v>1037</v>
      </c>
      <c r="C169" s="1" t="s">
        <v>1038</v>
      </c>
      <c r="E169" s="1" t="s">
        <v>1039</v>
      </c>
      <c r="F169" s="2" t="s">
        <v>1040</v>
      </c>
      <c r="G169" s="2" t="s">
        <v>1041</v>
      </c>
      <c r="H169" s="3" t="str">
        <f t="shared" si="1"/>
        <v>#NAME?</v>
      </c>
      <c r="I169" s="2" t="s">
        <v>1042</v>
      </c>
      <c r="J169" s="4" t="s">
        <v>1043</v>
      </c>
    </row>
    <row r="170">
      <c r="A170" s="1">
        <v>169.0</v>
      </c>
      <c r="B170" s="1" t="s">
        <v>1037</v>
      </c>
      <c r="C170" s="1" t="s">
        <v>1044</v>
      </c>
      <c r="E170" s="1" t="s">
        <v>1045</v>
      </c>
      <c r="F170" s="2" t="s">
        <v>1046</v>
      </c>
      <c r="G170" s="2" t="s">
        <v>1047</v>
      </c>
      <c r="H170" s="3" t="str">
        <f t="shared" si="1"/>
        <v>#NAME?</v>
      </c>
      <c r="I170" s="2" t="s">
        <v>1048</v>
      </c>
      <c r="J170" s="4" t="s">
        <v>1043</v>
      </c>
    </row>
    <row r="171">
      <c r="A171" s="1">
        <v>170.0</v>
      </c>
      <c r="B171" s="1" t="s">
        <v>1049</v>
      </c>
      <c r="C171" s="1" t="s">
        <v>1050</v>
      </c>
      <c r="E171" s="1" t="s">
        <v>1051</v>
      </c>
      <c r="F171" s="2" t="s">
        <v>1052</v>
      </c>
      <c r="G171" s="2" t="s">
        <v>1053</v>
      </c>
      <c r="H171" s="3" t="str">
        <f t="shared" si="1"/>
        <v>#NAME?</v>
      </c>
      <c r="I171" s="2" t="s">
        <v>1054</v>
      </c>
      <c r="J171" s="4" t="s">
        <v>1055</v>
      </c>
    </row>
    <row r="172">
      <c r="A172" s="1">
        <v>171.0</v>
      </c>
      <c r="B172" s="1" t="s">
        <v>1056</v>
      </c>
      <c r="C172" s="1" t="s">
        <v>1057</v>
      </c>
      <c r="E172" s="1" t="s">
        <v>1058</v>
      </c>
      <c r="F172" s="2" t="s">
        <v>1059</v>
      </c>
      <c r="G172" s="2" t="s">
        <v>1060</v>
      </c>
      <c r="H172" s="3" t="str">
        <f t="shared" si="1"/>
        <v>#NAME?</v>
      </c>
      <c r="I172" s="2" t="s">
        <v>1061</v>
      </c>
      <c r="J172" s="4" t="s">
        <v>1062</v>
      </c>
    </row>
    <row r="173">
      <c r="A173" s="1">
        <v>172.0</v>
      </c>
      <c r="B173" s="1" t="s">
        <v>1056</v>
      </c>
      <c r="C173" s="1" t="s">
        <v>1063</v>
      </c>
      <c r="E173" s="1" t="s">
        <v>1064</v>
      </c>
      <c r="F173" s="2" t="s">
        <v>1065</v>
      </c>
      <c r="G173" s="2" t="s">
        <v>1066</v>
      </c>
      <c r="H173" s="3" t="str">
        <f t="shared" si="1"/>
        <v>#NAME?</v>
      </c>
      <c r="I173" s="2" t="s">
        <v>1067</v>
      </c>
      <c r="J173" s="4" t="s">
        <v>1062</v>
      </c>
    </row>
    <row r="174">
      <c r="A174" s="1">
        <v>173.0</v>
      </c>
      <c r="B174" s="1" t="s">
        <v>1068</v>
      </c>
      <c r="C174" s="1" t="s">
        <v>1069</v>
      </c>
      <c r="E174" s="1" t="s">
        <v>1070</v>
      </c>
      <c r="F174" s="2" t="s">
        <v>1071</v>
      </c>
      <c r="G174" s="2" t="s">
        <v>1072</v>
      </c>
      <c r="H174" s="3" t="str">
        <f t="shared" si="1"/>
        <v>#NAME?</v>
      </c>
      <c r="I174" s="2" t="s">
        <v>1073</v>
      </c>
      <c r="J174" s="4" t="s">
        <v>1074</v>
      </c>
    </row>
    <row r="175">
      <c r="A175" s="1">
        <v>174.0</v>
      </c>
      <c r="B175" s="1" t="s">
        <v>1075</v>
      </c>
      <c r="C175" s="1" t="s">
        <v>1076</v>
      </c>
      <c r="E175" s="1" t="s">
        <v>1077</v>
      </c>
      <c r="F175" s="2" t="s">
        <v>1078</v>
      </c>
      <c r="G175" s="2" t="s">
        <v>1079</v>
      </c>
      <c r="H175" s="3" t="str">
        <f t="shared" si="1"/>
        <v>#NAME?</v>
      </c>
      <c r="I175" s="2" t="s">
        <v>1080</v>
      </c>
      <c r="J175" s="4" t="s">
        <v>1081</v>
      </c>
    </row>
    <row r="176">
      <c r="A176" s="1">
        <v>175.0</v>
      </c>
      <c r="B176" s="1" t="s">
        <v>1082</v>
      </c>
      <c r="C176" s="1" t="s">
        <v>1083</v>
      </c>
      <c r="E176" s="1" t="s">
        <v>1084</v>
      </c>
      <c r="F176" s="2" t="s">
        <v>1085</v>
      </c>
      <c r="G176" s="2" t="s">
        <v>1086</v>
      </c>
      <c r="H176" s="3" t="str">
        <f t="shared" si="1"/>
        <v>#NAME?</v>
      </c>
      <c r="I176" s="2" t="s">
        <v>1087</v>
      </c>
      <c r="J176" s="4" t="s">
        <v>1088</v>
      </c>
    </row>
    <row r="177">
      <c r="A177" s="1">
        <v>176.0</v>
      </c>
      <c r="B177" s="1" t="s">
        <v>1089</v>
      </c>
      <c r="C177" s="1" t="s">
        <v>1090</v>
      </c>
      <c r="E177" s="1" t="s">
        <v>1091</v>
      </c>
      <c r="F177" s="2" t="s">
        <v>1092</v>
      </c>
      <c r="G177" s="2" t="s">
        <v>1093</v>
      </c>
      <c r="H177" s="3" t="str">
        <f t="shared" si="1"/>
        <v>#NAME?</v>
      </c>
      <c r="I177" s="2" t="s">
        <v>1094</v>
      </c>
      <c r="J177" s="4" t="s">
        <v>1095</v>
      </c>
    </row>
    <row r="178">
      <c r="A178" s="1">
        <v>177.0</v>
      </c>
      <c r="B178" s="1" t="s">
        <v>1089</v>
      </c>
      <c r="C178" s="1" t="s">
        <v>1096</v>
      </c>
      <c r="E178" s="1" t="s">
        <v>1097</v>
      </c>
      <c r="F178" s="2" t="s">
        <v>1098</v>
      </c>
      <c r="G178" s="2" t="s">
        <v>1099</v>
      </c>
      <c r="H178" s="3" t="str">
        <f t="shared" si="1"/>
        <v>#NAME?</v>
      </c>
      <c r="I178" s="2" t="s">
        <v>1100</v>
      </c>
      <c r="J178" s="4" t="s">
        <v>1095</v>
      </c>
    </row>
    <row r="179">
      <c r="A179" s="1">
        <v>178.0</v>
      </c>
      <c r="B179" s="1" t="s">
        <v>1101</v>
      </c>
      <c r="C179" s="1" t="s">
        <v>1102</v>
      </c>
      <c r="E179" s="1" t="s">
        <v>1103</v>
      </c>
      <c r="F179" s="2" t="s">
        <v>1104</v>
      </c>
      <c r="G179" s="2" t="s">
        <v>1105</v>
      </c>
      <c r="H179" s="3" t="str">
        <f t="shared" si="1"/>
        <v>#NAME?</v>
      </c>
      <c r="I179" s="2" t="s">
        <v>1106</v>
      </c>
      <c r="J179" s="4" t="s">
        <v>1107</v>
      </c>
    </row>
    <row r="180">
      <c r="A180" s="1">
        <v>179.0</v>
      </c>
      <c r="B180" s="1" t="s">
        <v>1108</v>
      </c>
      <c r="C180" s="1" t="s">
        <v>1109</v>
      </c>
      <c r="E180" s="1" t="s">
        <v>1110</v>
      </c>
      <c r="F180" s="2" t="s">
        <v>1111</v>
      </c>
      <c r="G180" s="2" t="s">
        <v>1112</v>
      </c>
      <c r="H180" s="3" t="str">
        <f t="shared" si="1"/>
        <v>#NAME?</v>
      </c>
      <c r="I180" s="2" t="s">
        <v>1113</v>
      </c>
      <c r="J180" s="4" t="s">
        <v>1114</v>
      </c>
    </row>
    <row r="181">
      <c r="A181" s="1">
        <v>180.0</v>
      </c>
      <c r="B181" s="1" t="s">
        <v>1108</v>
      </c>
      <c r="C181" s="1" t="s">
        <v>1115</v>
      </c>
      <c r="E181" s="1" t="s">
        <v>1116</v>
      </c>
      <c r="F181" s="2" t="s">
        <v>1117</v>
      </c>
      <c r="G181" s="2" t="s">
        <v>1118</v>
      </c>
      <c r="H181" s="3" t="str">
        <f t="shared" si="1"/>
        <v>#NAME?</v>
      </c>
      <c r="I181" s="2" t="s">
        <v>1119</v>
      </c>
      <c r="J181" s="4" t="s">
        <v>1114</v>
      </c>
    </row>
    <row r="182">
      <c r="A182" s="1">
        <v>181.0</v>
      </c>
      <c r="B182" s="1" t="s">
        <v>1120</v>
      </c>
      <c r="C182" s="1" t="s">
        <v>10</v>
      </c>
      <c r="E182" s="1" t="s">
        <v>11</v>
      </c>
      <c r="F182" s="2" t="s">
        <v>1121</v>
      </c>
      <c r="G182" s="2" t="s">
        <v>1122</v>
      </c>
      <c r="H182" s="3" t="str">
        <f t="shared" si="1"/>
        <v>#NAME?</v>
      </c>
      <c r="I182" s="2" t="s">
        <v>1123</v>
      </c>
      <c r="J182" s="4" t="s">
        <v>1124</v>
      </c>
    </row>
    <row r="183">
      <c r="A183" s="1">
        <v>182.0</v>
      </c>
      <c r="B183" s="1" t="s">
        <v>1125</v>
      </c>
      <c r="C183" s="1" t="s">
        <v>1126</v>
      </c>
      <c r="E183" s="1" t="s">
        <v>1127</v>
      </c>
      <c r="F183" s="2" t="s">
        <v>1128</v>
      </c>
      <c r="G183" s="2" t="s">
        <v>1129</v>
      </c>
      <c r="H183" s="3" t="str">
        <f t="shared" si="1"/>
        <v>#NAME?</v>
      </c>
      <c r="I183" s="2" t="s">
        <v>1130</v>
      </c>
      <c r="J183" s="4" t="s">
        <v>1131</v>
      </c>
    </row>
    <row r="184">
      <c r="A184" s="1">
        <v>183.0</v>
      </c>
      <c r="B184" s="1" t="s">
        <v>1132</v>
      </c>
      <c r="C184" s="1" t="s">
        <v>1133</v>
      </c>
      <c r="E184" s="1" t="s">
        <v>1134</v>
      </c>
      <c r="F184" s="2" t="s">
        <v>1135</v>
      </c>
      <c r="G184" s="2" t="s">
        <v>1136</v>
      </c>
      <c r="H184" s="3" t="str">
        <f t="shared" si="1"/>
        <v>#NAME?</v>
      </c>
      <c r="I184" s="2" t="s">
        <v>1137</v>
      </c>
      <c r="J184" s="4" t="s">
        <v>1138</v>
      </c>
    </row>
    <row r="185">
      <c r="A185" s="1">
        <v>184.0</v>
      </c>
      <c r="B185" s="1" t="s">
        <v>1139</v>
      </c>
      <c r="C185" s="1" t="s">
        <v>1140</v>
      </c>
      <c r="E185" s="1" t="s">
        <v>1141</v>
      </c>
      <c r="F185" s="2" t="s">
        <v>1142</v>
      </c>
      <c r="G185" s="2" t="s">
        <v>1143</v>
      </c>
      <c r="H185" s="3" t="str">
        <f t="shared" si="1"/>
        <v>#NAME?</v>
      </c>
      <c r="I185" s="2" t="s">
        <v>1144</v>
      </c>
      <c r="J185" s="4" t="s">
        <v>1145</v>
      </c>
    </row>
    <row r="186">
      <c r="A186" s="1">
        <v>185.0</v>
      </c>
      <c r="B186" s="1" t="s">
        <v>1146</v>
      </c>
      <c r="C186" s="1" t="s">
        <v>1147</v>
      </c>
      <c r="E186" s="1" t="s">
        <v>1148</v>
      </c>
      <c r="F186" s="2" t="s">
        <v>1149</v>
      </c>
      <c r="G186" s="2" t="s">
        <v>1150</v>
      </c>
      <c r="H186" s="3" t="str">
        <f t="shared" si="1"/>
        <v>#NAME?</v>
      </c>
      <c r="I186" s="2" t="s">
        <v>1151</v>
      </c>
      <c r="J186" s="4" t="s">
        <v>1152</v>
      </c>
    </row>
    <row r="187">
      <c r="A187" s="1">
        <v>186.0</v>
      </c>
      <c r="B187" s="1" t="s">
        <v>1153</v>
      </c>
      <c r="C187" s="1" t="s">
        <v>1154</v>
      </c>
      <c r="E187" s="1" t="s">
        <v>1154</v>
      </c>
      <c r="F187" s="2" t="s">
        <v>592</v>
      </c>
      <c r="G187" s="2" t="s">
        <v>1155</v>
      </c>
      <c r="H187" s="3" t="str">
        <f t="shared" si="1"/>
        <v>#NAME?</v>
      </c>
      <c r="I187" s="2" t="s">
        <v>1156</v>
      </c>
      <c r="J187" s="4" t="s">
        <v>1157</v>
      </c>
    </row>
    <row r="188">
      <c r="A188" s="1">
        <v>187.0</v>
      </c>
      <c r="B188" s="1" t="s">
        <v>1158</v>
      </c>
      <c r="C188" s="1" t="s">
        <v>1159</v>
      </c>
      <c r="E188" s="1" t="s">
        <v>1160</v>
      </c>
      <c r="F188" s="2" t="s">
        <v>1161</v>
      </c>
      <c r="G188" s="2" t="s">
        <v>1162</v>
      </c>
      <c r="H188" s="3" t="str">
        <f t="shared" si="1"/>
        <v>#NAME?</v>
      </c>
      <c r="I188" s="2" t="s">
        <v>1163</v>
      </c>
      <c r="J188" s="4" t="s">
        <v>1164</v>
      </c>
    </row>
    <row r="189">
      <c r="A189" s="1">
        <v>188.0</v>
      </c>
      <c r="B189" s="1" t="s">
        <v>1165</v>
      </c>
      <c r="C189" s="1" t="s">
        <v>1166</v>
      </c>
      <c r="E189" s="1" t="s">
        <v>1167</v>
      </c>
      <c r="F189" s="2" t="s">
        <v>1168</v>
      </c>
      <c r="G189" s="2" t="s">
        <v>1169</v>
      </c>
      <c r="H189" s="3" t="str">
        <f t="shared" si="1"/>
        <v>#NAME?</v>
      </c>
      <c r="I189" s="2" t="s">
        <v>1170</v>
      </c>
      <c r="J189" s="4" t="s">
        <v>1171</v>
      </c>
    </row>
    <row r="190">
      <c r="A190" s="1">
        <v>189.0</v>
      </c>
      <c r="B190" s="1" t="s">
        <v>1172</v>
      </c>
      <c r="C190" s="1" t="s">
        <v>1173</v>
      </c>
      <c r="E190" s="1" t="s">
        <v>1174</v>
      </c>
      <c r="F190" s="2" t="s">
        <v>1175</v>
      </c>
      <c r="G190" s="2" t="s">
        <v>1176</v>
      </c>
      <c r="H190" s="3" t="str">
        <f t="shared" si="1"/>
        <v>#NAME?</v>
      </c>
      <c r="I190" s="2" t="s">
        <v>1177</v>
      </c>
      <c r="J190" s="4" t="s">
        <v>1178</v>
      </c>
    </row>
    <row r="191">
      <c r="A191" s="1">
        <v>190.0</v>
      </c>
      <c r="B191" s="1" t="s">
        <v>1179</v>
      </c>
      <c r="C191" s="1" t="s">
        <v>1180</v>
      </c>
      <c r="E191" s="1" t="s">
        <v>1181</v>
      </c>
      <c r="F191" s="2" t="s">
        <v>1182</v>
      </c>
      <c r="G191" s="2" t="s">
        <v>1183</v>
      </c>
      <c r="H191" s="3" t="str">
        <f t="shared" si="1"/>
        <v>#NAME?</v>
      </c>
      <c r="I191" s="2" t="s">
        <v>1184</v>
      </c>
      <c r="J191" s="4" t="s">
        <v>1185</v>
      </c>
    </row>
    <row r="192">
      <c r="A192" s="1">
        <v>191.0</v>
      </c>
      <c r="B192" s="1" t="s">
        <v>1179</v>
      </c>
      <c r="C192" s="1" t="s">
        <v>1180</v>
      </c>
      <c r="E192" s="1" t="s">
        <v>1181</v>
      </c>
      <c r="F192" s="2" t="s">
        <v>1186</v>
      </c>
      <c r="G192" s="2" t="s">
        <v>1187</v>
      </c>
      <c r="H192" s="3" t="str">
        <f t="shared" si="1"/>
        <v>#NAME?</v>
      </c>
      <c r="I192" s="2" t="s">
        <v>1188</v>
      </c>
      <c r="J192" s="4" t="s">
        <v>1185</v>
      </c>
    </row>
    <row r="193">
      <c r="A193" s="1">
        <v>192.0</v>
      </c>
      <c r="B193" s="1" t="s">
        <v>1179</v>
      </c>
      <c r="C193" s="1" t="s">
        <v>1189</v>
      </c>
      <c r="E193" s="1" t="s">
        <v>1190</v>
      </c>
      <c r="F193" s="2" t="s">
        <v>1191</v>
      </c>
      <c r="G193" s="2" t="s">
        <v>1192</v>
      </c>
      <c r="H193" s="3" t="str">
        <f t="shared" si="1"/>
        <v>#NAME?</v>
      </c>
      <c r="I193" s="2" t="s">
        <v>1193</v>
      </c>
      <c r="J193" s="4" t="s">
        <v>1185</v>
      </c>
    </row>
    <row r="194">
      <c r="A194" s="1">
        <v>193.0</v>
      </c>
      <c r="B194" s="1" t="s">
        <v>1179</v>
      </c>
      <c r="C194" s="1" t="s">
        <v>1194</v>
      </c>
      <c r="E194" s="1" t="s">
        <v>1195</v>
      </c>
      <c r="F194" s="2" t="s">
        <v>1196</v>
      </c>
      <c r="G194" s="2" t="s">
        <v>1197</v>
      </c>
      <c r="H194" s="3" t="str">
        <f t="shared" si="1"/>
        <v>#NAME?</v>
      </c>
      <c r="I194" s="2" t="s">
        <v>1198</v>
      </c>
      <c r="J194" s="4" t="s">
        <v>1185</v>
      </c>
    </row>
    <row r="195">
      <c r="A195" s="1">
        <v>194.0</v>
      </c>
      <c r="B195" s="1" t="s">
        <v>1179</v>
      </c>
      <c r="C195" s="1" t="s">
        <v>1199</v>
      </c>
      <c r="E195" s="1" t="s">
        <v>1200</v>
      </c>
      <c r="F195" s="2" t="s">
        <v>1201</v>
      </c>
      <c r="G195" s="2" t="s">
        <v>1202</v>
      </c>
      <c r="H195" s="3" t="str">
        <f t="shared" si="1"/>
        <v>#NAME?</v>
      </c>
      <c r="I195" s="2" t="s">
        <v>1203</v>
      </c>
      <c r="J195" s="4" t="s">
        <v>1185</v>
      </c>
    </row>
    <row r="196">
      <c r="A196" s="1">
        <v>195.0</v>
      </c>
      <c r="B196" s="1" t="s">
        <v>1204</v>
      </c>
      <c r="C196" s="1" t="s">
        <v>1205</v>
      </c>
      <c r="E196" s="1" t="s">
        <v>1206</v>
      </c>
      <c r="F196" s="2" t="s">
        <v>1207</v>
      </c>
      <c r="G196" s="2" t="s">
        <v>1208</v>
      </c>
      <c r="H196" s="3" t="str">
        <f t="shared" si="1"/>
        <v>#NAME?</v>
      </c>
      <c r="I196" s="2" t="s">
        <v>1209</v>
      </c>
      <c r="J196" s="4" t="s">
        <v>1210</v>
      </c>
    </row>
    <row r="197">
      <c r="A197" s="1">
        <v>196.0</v>
      </c>
      <c r="B197" s="1" t="s">
        <v>1211</v>
      </c>
      <c r="C197" s="1" t="s">
        <v>1212</v>
      </c>
      <c r="E197" s="1" t="s">
        <v>1213</v>
      </c>
      <c r="F197" s="2" t="s">
        <v>1214</v>
      </c>
      <c r="G197" s="2" t="s">
        <v>1215</v>
      </c>
      <c r="H197" s="3" t="str">
        <f t="shared" si="1"/>
        <v>#NAME?</v>
      </c>
      <c r="I197" s="2" t="s">
        <v>1216</v>
      </c>
      <c r="J197" s="4" t="s">
        <v>1217</v>
      </c>
    </row>
    <row r="198">
      <c r="A198" s="1">
        <v>197.0</v>
      </c>
      <c r="B198" s="1" t="s">
        <v>1211</v>
      </c>
      <c r="C198" s="1" t="s">
        <v>1218</v>
      </c>
      <c r="E198" s="1" t="s">
        <v>1219</v>
      </c>
      <c r="F198" s="2" t="s">
        <v>1220</v>
      </c>
      <c r="G198" s="2" t="s">
        <v>1221</v>
      </c>
      <c r="H198" s="3" t="str">
        <f t="shared" si="1"/>
        <v>#NAME?</v>
      </c>
      <c r="I198" s="2" t="s">
        <v>1222</v>
      </c>
      <c r="J198" s="4" t="s">
        <v>1217</v>
      </c>
    </row>
    <row r="199">
      <c r="A199" s="1">
        <v>198.0</v>
      </c>
      <c r="B199" s="1" t="s">
        <v>1223</v>
      </c>
      <c r="C199" s="1" t="s">
        <v>1224</v>
      </c>
      <c r="E199" s="1" t="s">
        <v>1225</v>
      </c>
      <c r="F199" s="2" t="s">
        <v>1226</v>
      </c>
      <c r="G199" s="2" t="s">
        <v>1227</v>
      </c>
      <c r="H199" s="3" t="str">
        <f t="shared" si="1"/>
        <v>#NAME?</v>
      </c>
      <c r="I199" s="2" t="s">
        <v>1228</v>
      </c>
      <c r="J199" s="4" t="s">
        <v>1229</v>
      </c>
    </row>
    <row r="200">
      <c r="A200" s="1">
        <v>199.0</v>
      </c>
      <c r="B200" s="1" t="s">
        <v>1230</v>
      </c>
      <c r="C200" s="1" t="s">
        <v>1231</v>
      </c>
      <c r="E200" s="1" t="s">
        <v>1232</v>
      </c>
      <c r="F200" s="2" t="s">
        <v>1233</v>
      </c>
      <c r="G200" s="2" t="s">
        <v>1234</v>
      </c>
      <c r="H200" s="3" t="str">
        <f t="shared" si="1"/>
        <v>#NAME?</v>
      </c>
      <c r="I200" s="2" t="s">
        <v>1235</v>
      </c>
      <c r="J200" s="4" t="s">
        <v>1236</v>
      </c>
    </row>
    <row r="201">
      <c r="A201" s="1">
        <v>200.0</v>
      </c>
      <c r="B201" s="1" t="s">
        <v>1230</v>
      </c>
      <c r="C201" s="1" t="s">
        <v>1237</v>
      </c>
      <c r="E201" s="1" t="s">
        <v>1238</v>
      </c>
      <c r="F201" s="2" t="s">
        <v>1239</v>
      </c>
      <c r="G201" s="2" t="s">
        <v>1240</v>
      </c>
      <c r="H201" s="3" t="str">
        <f t="shared" si="1"/>
        <v>#NAME?</v>
      </c>
      <c r="I201" s="2" t="s">
        <v>1241</v>
      </c>
      <c r="J201" s="4" t="s">
        <v>1236</v>
      </c>
    </row>
    <row r="202">
      <c r="A202" s="1">
        <v>201.0</v>
      </c>
      <c r="B202" s="1" t="s">
        <v>1242</v>
      </c>
      <c r="C202" s="1" t="s">
        <v>1243</v>
      </c>
      <c r="E202" s="1" t="s">
        <v>1244</v>
      </c>
      <c r="F202" s="2" t="s">
        <v>1245</v>
      </c>
      <c r="G202" s="2" t="s">
        <v>1246</v>
      </c>
      <c r="H202" s="3" t="str">
        <f t="shared" si="1"/>
        <v>#NAME?</v>
      </c>
      <c r="I202" s="2" t="s">
        <v>1247</v>
      </c>
      <c r="J202" s="4" t="s">
        <v>1248</v>
      </c>
    </row>
    <row r="203">
      <c r="A203" s="1">
        <v>202.0</v>
      </c>
      <c r="B203" s="1" t="s">
        <v>1242</v>
      </c>
      <c r="C203" s="1" t="s">
        <v>1249</v>
      </c>
      <c r="E203" s="1" t="s">
        <v>1250</v>
      </c>
      <c r="F203" s="2" t="s">
        <v>1251</v>
      </c>
      <c r="G203" s="2" t="s">
        <v>1252</v>
      </c>
      <c r="H203" s="3" t="str">
        <f t="shared" si="1"/>
        <v>#NAME?</v>
      </c>
      <c r="I203" s="2" t="s">
        <v>1253</v>
      </c>
      <c r="J203" s="4" t="s">
        <v>1248</v>
      </c>
    </row>
    <row r="204">
      <c r="A204" s="1">
        <v>203.0</v>
      </c>
      <c r="B204" s="1" t="s">
        <v>1254</v>
      </c>
      <c r="C204" s="1" t="s">
        <v>1255</v>
      </c>
      <c r="E204" s="1" t="s">
        <v>1256</v>
      </c>
      <c r="F204" s="2" t="s">
        <v>1257</v>
      </c>
      <c r="G204" s="2" t="s">
        <v>1258</v>
      </c>
      <c r="H204" s="3" t="str">
        <f t="shared" si="1"/>
        <v>#NAME?</v>
      </c>
      <c r="I204" s="2" t="s">
        <v>1259</v>
      </c>
      <c r="J204" s="4" t="s">
        <v>1260</v>
      </c>
    </row>
    <row r="205">
      <c r="A205" s="1">
        <v>204.0</v>
      </c>
      <c r="B205" s="1" t="s">
        <v>1254</v>
      </c>
      <c r="C205" s="1" t="s">
        <v>1261</v>
      </c>
      <c r="E205" s="1" t="s">
        <v>1262</v>
      </c>
      <c r="F205" s="2" t="s">
        <v>1263</v>
      </c>
      <c r="G205" s="2" t="s">
        <v>1264</v>
      </c>
      <c r="H205" s="3" t="str">
        <f t="shared" si="1"/>
        <v>#NAME?</v>
      </c>
      <c r="I205" s="2" t="s">
        <v>1265</v>
      </c>
      <c r="J205" s="4" t="s">
        <v>1260</v>
      </c>
    </row>
    <row r="206">
      <c r="A206" s="1">
        <v>205.0</v>
      </c>
      <c r="B206" s="1" t="s">
        <v>1254</v>
      </c>
      <c r="C206" s="1" t="s">
        <v>922</v>
      </c>
      <c r="E206" s="1" t="s">
        <v>923</v>
      </c>
      <c r="F206" s="2" t="s">
        <v>924</v>
      </c>
      <c r="G206" s="2" t="s">
        <v>1266</v>
      </c>
      <c r="H206" s="3" t="str">
        <f t="shared" si="1"/>
        <v>#NAME?</v>
      </c>
      <c r="I206" s="2" t="s">
        <v>1267</v>
      </c>
      <c r="J206" s="4" t="s">
        <v>1260</v>
      </c>
    </row>
    <row r="207">
      <c r="A207" s="1">
        <v>206.0</v>
      </c>
      <c r="B207" s="1" t="s">
        <v>1268</v>
      </c>
      <c r="C207" s="1" t="s">
        <v>1269</v>
      </c>
      <c r="E207" s="1" t="s">
        <v>1270</v>
      </c>
      <c r="F207" s="2" t="s">
        <v>1271</v>
      </c>
      <c r="G207" s="2" t="s">
        <v>1272</v>
      </c>
      <c r="H207" s="3" t="str">
        <f t="shared" si="1"/>
        <v>#NAME?</v>
      </c>
      <c r="I207" s="2" t="s">
        <v>1273</v>
      </c>
      <c r="J207" s="4" t="s">
        <v>1274</v>
      </c>
    </row>
    <row r="208">
      <c r="A208" s="1">
        <v>207.0</v>
      </c>
      <c r="B208" s="1" t="s">
        <v>1275</v>
      </c>
      <c r="C208" s="1" t="s">
        <v>1276</v>
      </c>
      <c r="E208" s="1" t="s">
        <v>1277</v>
      </c>
      <c r="F208" s="2" t="s">
        <v>1278</v>
      </c>
      <c r="G208" s="2" t="s">
        <v>1279</v>
      </c>
      <c r="H208" s="3" t="str">
        <f t="shared" si="1"/>
        <v>#NAME?</v>
      </c>
      <c r="I208" s="2" t="s">
        <v>1280</v>
      </c>
      <c r="J208" s="4" t="s">
        <v>1281</v>
      </c>
    </row>
    <row r="209">
      <c r="A209" s="1">
        <v>208.0</v>
      </c>
      <c r="B209" s="1" t="s">
        <v>1282</v>
      </c>
      <c r="C209" s="1" t="s">
        <v>1283</v>
      </c>
      <c r="E209" s="1" t="s">
        <v>1284</v>
      </c>
      <c r="F209" s="2" t="s">
        <v>1285</v>
      </c>
      <c r="G209" s="2" t="s">
        <v>1286</v>
      </c>
      <c r="H209" s="3" t="str">
        <f t="shared" si="1"/>
        <v>#NAME?</v>
      </c>
      <c r="I209" s="2" t="s">
        <v>1287</v>
      </c>
      <c r="J209" s="4" t="s">
        <v>1288</v>
      </c>
    </row>
    <row r="210">
      <c r="A210" s="1">
        <v>209.0</v>
      </c>
      <c r="B210" s="1" t="s">
        <v>1282</v>
      </c>
      <c r="C210" s="1" t="s">
        <v>1289</v>
      </c>
      <c r="E210" s="1" t="s">
        <v>1290</v>
      </c>
      <c r="F210" s="2" t="s">
        <v>1291</v>
      </c>
      <c r="G210" s="2" t="s">
        <v>1292</v>
      </c>
      <c r="H210" s="3" t="str">
        <f t="shared" si="1"/>
        <v>#NAME?</v>
      </c>
      <c r="I210" s="2" t="s">
        <v>1293</v>
      </c>
      <c r="J210" s="4" t="s">
        <v>1288</v>
      </c>
    </row>
    <row r="211">
      <c r="A211" s="1">
        <v>210.0</v>
      </c>
      <c r="B211" s="1" t="s">
        <v>1294</v>
      </c>
      <c r="C211" s="1" t="s">
        <v>1295</v>
      </c>
      <c r="E211" s="1" t="s">
        <v>1296</v>
      </c>
      <c r="F211" s="2" t="s">
        <v>1297</v>
      </c>
      <c r="G211" s="2" t="s">
        <v>1298</v>
      </c>
      <c r="H211" s="3" t="str">
        <f t="shared" si="1"/>
        <v>#NAME?</v>
      </c>
      <c r="I211" s="2" t="s">
        <v>1299</v>
      </c>
      <c r="J211" s="4" t="s">
        <v>1300</v>
      </c>
    </row>
    <row r="212">
      <c r="A212" s="1">
        <v>211.0</v>
      </c>
      <c r="B212" s="1" t="s">
        <v>1294</v>
      </c>
      <c r="C212" s="1" t="s">
        <v>1301</v>
      </c>
      <c r="E212" s="1" t="s">
        <v>1302</v>
      </c>
      <c r="F212" s="2" t="s">
        <v>1303</v>
      </c>
      <c r="G212" s="2" t="s">
        <v>1304</v>
      </c>
      <c r="H212" s="3" t="str">
        <f t="shared" si="1"/>
        <v>#NAME?</v>
      </c>
      <c r="I212" s="2" t="s">
        <v>1305</v>
      </c>
      <c r="J212" s="4" t="s">
        <v>1300</v>
      </c>
    </row>
    <row r="213">
      <c r="A213" s="1">
        <v>212.0</v>
      </c>
      <c r="B213" s="1" t="s">
        <v>1294</v>
      </c>
      <c r="C213" s="1" t="s">
        <v>1306</v>
      </c>
      <c r="E213" s="1" t="s">
        <v>1307</v>
      </c>
      <c r="F213" s="2" t="s">
        <v>1308</v>
      </c>
      <c r="G213" s="2" t="s">
        <v>1309</v>
      </c>
      <c r="H213" s="3" t="str">
        <f t="shared" si="1"/>
        <v>#NAME?</v>
      </c>
      <c r="I213" s="2" t="s">
        <v>1310</v>
      </c>
      <c r="J213" s="4" t="s">
        <v>1300</v>
      </c>
    </row>
    <row r="214">
      <c r="A214" s="1">
        <v>213.0</v>
      </c>
      <c r="B214" s="1" t="s">
        <v>1294</v>
      </c>
      <c r="C214" s="1" t="s">
        <v>1311</v>
      </c>
      <c r="E214" s="1" t="s">
        <v>1312</v>
      </c>
      <c r="F214" s="2" t="s">
        <v>1313</v>
      </c>
      <c r="G214" s="2" t="s">
        <v>1314</v>
      </c>
      <c r="H214" s="3" t="str">
        <f t="shared" si="1"/>
        <v>#NAME?</v>
      </c>
      <c r="I214" s="2" t="s">
        <v>1315</v>
      </c>
      <c r="J214" s="4" t="s">
        <v>1300</v>
      </c>
    </row>
    <row r="215">
      <c r="A215" s="1">
        <v>214.0</v>
      </c>
      <c r="B215" s="1" t="s">
        <v>1294</v>
      </c>
      <c r="C215" s="1" t="s">
        <v>1316</v>
      </c>
      <c r="E215" s="1" t="s">
        <v>1317</v>
      </c>
      <c r="F215" s="2" t="s">
        <v>1318</v>
      </c>
      <c r="G215" s="2" t="s">
        <v>1319</v>
      </c>
      <c r="H215" s="3" t="str">
        <f t="shared" si="1"/>
        <v>#NAME?</v>
      </c>
      <c r="I215" s="2" t="s">
        <v>1320</v>
      </c>
      <c r="J215" s="4" t="s">
        <v>1300</v>
      </c>
    </row>
    <row r="216">
      <c r="A216" s="1">
        <v>215.0</v>
      </c>
      <c r="B216" s="1" t="s">
        <v>1294</v>
      </c>
      <c r="C216" s="1" t="s">
        <v>1321</v>
      </c>
      <c r="E216" s="1" t="s">
        <v>1322</v>
      </c>
      <c r="F216" s="2" t="s">
        <v>1323</v>
      </c>
      <c r="G216" s="2" t="s">
        <v>1324</v>
      </c>
      <c r="H216" s="3" t="str">
        <f t="shared" si="1"/>
        <v>#NAME?</v>
      </c>
      <c r="I216" s="2" t="s">
        <v>1325</v>
      </c>
      <c r="J216" s="4" t="s">
        <v>1300</v>
      </c>
    </row>
    <row r="217">
      <c r="A217" s="1">
        <v>216.0</v>
      </c>
      <c r="B217" s="1" t="s">
        <v>1294</v>
      </c>
      <c r="C217" s="1" t="s">
        <v>1326</v>
      </c>
      <c r="E217" s="1" t="s">
        <v>1327</v>
      </c>
      <c r="F217" s="2" t="s">
        <v>1323</v>
      </c>
      <c r="G217" s="2" t="s">
        <v>1328</v>
      </c>
      <c r="H217" s="3" t="str">
        <f t="shared" si="1"/>
        <v>#NAME?</v>
      </c>
      <c r="I217" s="2" t="s">
        <v>1329</v>
      </c>
      <c r="J217" s="4" t="s">
        <v>1300</v>
      </c>
    </row>
    <row r="218">
      <c r="A218" s="1">
        <v>217.0</v>
      </c>
      <c r="B218" s="1" t="s">
        <v>1330</v>
      </c>
      <c r="C218" s="1" t="s">
        <v>1331</v>
      </c>
      <c r="E218" s="1" t="s">
        <v>1332</v>
      </c>
      <c r="F218" s="2" t="s">
        <v>1333</v>
      </c>
      <c r="G218" s="2" t="s">
        <v>1334</v>
      </c>
      <c r="H218" s="3" t="str">
        <f t="shared" si="1"/>
        <v>#NAME?</v>
      </c>
      <c r="I218" s="2" t="s">
        <v>1335</v>
      </c>
      <c r="J218" s="4" t="s">
        <v>1336</v>
      </c>
    </row>
    <row r="219">
      <c r="A219" s="1">
        <v>218.0</v>
      </c>
      <c r="B219" s="1" t="s">
        <v>1337</v>
      </c>
      <c r="C219" s="1" t="s">
        <v>1338</v>
      </c>
      <c r="E219" s="1" t="s">
        <v>1339</v>
      </c>
      <c r="F219" s="2" t="s">
        <v>1340</v>
      </c>
      <c r="G219" s="2" t="s">
        <v>1341</v>
      </c>
      <c r="H219" s="3" t="str">
        <f t="shared" si="1"/>
        <v>#NAME?</v>
      </c>
      <c r="I219" s="2" t="s">
        <v>1342</v>
      </c>
      <c r="J219" s="4" t="s">
        <v>1343</v>
      </c>
    </row>
    <row r="220">
      <c r="A220" s="1">
        <v>219.0</v>
      </c>
      <c r="B220" s="1" t="s">
        <v>1344</v>
      </c>
      <c r="C220" s="1" t="s">
        <v>1345</v>
      </c>
      <c r="E220" s="1" t="s">
        <v>1346</v>
      </c>
      <c r="F220" s="2" t="s">
        <v>1347</v>
      </c>
      <c r="G220" s="2" t="s">
        <v>1348</v>
      </c>
      <c r="H220" s="3" t="str">
        <f t="shared" si="1"/>
        <v>#NAME?</v>
      </c>
      <c r="I220" s="2" t="s">
        <v>1349</v>
      </c>
      <c r="J220" s="4" t="s">
        <v>1350</v>
      </c>
    </row>
    <row r="221">
      <c r="A221" s="1">
        <v>220.0</v>
      </c>
      <c r="B221" s="1" t="s">
        <v>1351</v>
      </c>
      <c r="C221" s="1" t="s">
        <v>1352</v>
      </c>
      <c r="E221" s="1" t="s">
        <v>1353</v>
      </c>
      <c r="F221" s="2" t="s">
        <v>1354</v>
      </c>
      <c r="G221" s="2" t="s">
        <v>1355</v>
      </c>
      <c r="H221" s="3" t="str">
        <f t="shared" si="1"/>
        <v>#NAME?</v>
      </c>
      <c r="I221" s="2" t="s">
        <v>1356</v>
      </c>
      <c r="J221" s="4" t="s">
        <v>1357</v>
      </c>
    </row>
    <row r="222">
      <c r="A222" s="1">
        <v>221.0</v>
      </c>
      <c r="B222" s="1" t="s">
        <v>1358</v>
      </c>
      <c r="C222" s="1" t="s">
        <v>1359</v>
      </c>
      <c r="E222" s="1" t="s">
        <v>1360</v>
      </c>
      <c r="F222" s="2" t="s">
        <v>1361</v>
      </c>
      <c r="G222" s="2" t="s">
        <v>1362</v>
      </c>
      <c r="H222" s="3" t="str">
        <f t="shared" si="1"/>
        <v>#NAME?</v>
      </c>
      <c r="I222" s="2" t="s">
        <v>1363</v>
      </c>
      <c r="J222" s="4" t="s">
        <v>1364</v>
      </c>
    </row>
    <row r="223">
      <c r="A223" s="1">
        <v>222.0</v>
      </c>
      <c r="B223" s="1" t="s">
        <v>1358</v>
      </c>
      <c r="C223" s="1" t="s">
        <v>1365</v>
      </c>
      <c r="E223" s="1" t="s">
        <v>1366</v>
      </c>
      <c r="F223" s="2" t="s">
        <v>1367</v>
      </c>
      <c r="G223" s="2" t="s">
        <v>1368</v>
      </c>
      <c r="H223" s="3" t="str">
        <f t="shared" si="1"/>
        <v>#NAME?</v>
      </c>
      <c r="I223" s="2" t="s">
        <v>1369</v>
      </c>
      <c r="J223" s="4" t="s">
        <v>1364</v>
      </c>
    </row>
    <row r="224">
      <c r="A224" s="1">
        <v>223.0</v>
      </c>
      <c r="B224" s="1" t="s">
        <v>1370</v>
      </c>
      <c r="C224" s="1" t="s">
        <v>1371</v>
      </c>
      <c r="E224" s="1" t="s">
        <v>1372</v>
      </c>
      <c r="F224" s="2" t="s">
        <v>1373</v>
      </c>
      <c r="G224" s="2" t="s">
        <v>1374</v>
      </c>
      <c r="H224" s="3" t="str">
        <f t="shared" si="1"/>
        <v>#NAME?</v>
      </c>
      <c r="I224" s="2" t="s">
        <v>1375</v>
      </c>
      <c r="J224" s="4" t="s">
        <v>1376</v>
      </c>
    </row>
    <row r="225">
      <c r="A225" s="1">
        <v>224.0</v>
      </c>
      <c r="B225" s="1" t="s">
        <v>1370</v>
      </c>
      <c r="C225" s="1" t="s">
        <v>1377</v>
      </c>
      <c r="E225" s="1" t="s">
        <v>1378</v>
      </c>
      <c r="F225" s="2" t="s">
        <v>1379</v>
      </c>
      <c r="G225" s="2" t="s">
        <v>1380</v>
      </c>
      <c r="H225" s="3" t="str">
        <f t="shared" si="1"/>
        <v>#NAME?</v>
      </c>
      <c r="I225" s="2" t="s">
        <v>1381</v>
      </c>
      <c r="J225" s="4" t="s">
        <v>1376</v>
      </c>
    </row>
    <row r="226">
      <c r="A226" s="1">
        <v>225.0</v>
      </c>
      <c r="B226" s="1" t="s">
        <v>1370</v>
      </c>
      <c r="C226" s="1" t="s">
        <v>1382</v>
      </c>
      <c r="E226" s="1" t="s">
        <v>1383</v>
      </c>
      <c r="F226" s="2" t="s">
        <v>1384</v>
      </c>
      <c r="G226" s="2" t="s">
        <v>1385</v>
      </c>
      <c r="H226" s="3" t="str">
        <f t="shared" si="1"/>
        <v>#NAME?</v>
      </c>
      <c r="I226" s="2" t="s">
        <v>1386</v>
      </c>
      <c r="J226" s="4" t="s">
        <v>1376</v>
      </c>
    </row>
    <row r="227">
      <c r="A227" s="1">
        <v>226.0</v>
      </c>
      <c r="B227" s="1" t="s">
        <v>1370</v>
      </c>
      <c r="C227" s="1" t="s">
        <v>1387</v>
      </c>
      <c r="E227" s="1" t="s">
        <v>1388</v>
      </c>
      <c r="F227" s="2" t="s">
        <v>1389</v>
      </c>
      <c r="G227" s="2" t="s">
        <v>1390</v>
      </c>
      <c r="H227" s="3" t="str">
        <f t="shared" si="1"/>
        <v>#NAME?</v>
      </c>
      <c r="I227" s="2" t="s">
        <v>1391</v>
      </c>
      <c r="J227" s="4" t="s">
        <v>1376</v>
      </c>
    </row>
    <row r="228">
      <c r="A228" s="1">
        <v>227.0</v>
      </c>
      <c r="B228" s="1" t="s">
        <v>1392</v>
      </c>
      <c r="C228" s="1" t="s">
        <v>1393</v>
      </c>
      <c r="E228" s="1" t="s">
        <v>1394</v>
      </c>
      <c r="F228" s="2" t="s">
        <v>1395</v>
      </c>
      <c r="G228" s="2" t="s">
        <v>1396</v>
      </c>
      <c r="H228" s="3" t="str">
        <f t="shared" si="1"/>
        <v>#NAME?</v>
      </c>
      <c r="I228" s="2" t="s">
        <v>1397</v>
      </c>
      <c r="J228" s="4" t="s">
        <v>1398</v>
      </c>
    </row>
    <row r="229">
      <c r="A229" s="1">
        <v>228.0</v>
      </c>
      <c r="B229" s="1" t="s">
        <v>1399</v>
      </c>
      <c r="C229" s="1" t="s">
        <v>1400</v>
      </c>
      <c r="E229" s="1" t="s">
        <v>1401</v>
      </c>
      <c r="F229" s="2" t="s">
        <v>1402</v>
      </c>
      <c r="G229" s="2" t="s">
        <v>1403</v>
      </c>
      <c r="H229" s="3" t="str">
        <f t="shared" si="1"/>
        <v>#NAME?</v>
      </c>
      <c r="I229" s="2" t="s">
        <v>1404</v>
      </c>
      <c r="J229" s="4" t="s">
        <v>1405</v>
      </c>
    </row>
    <row r="230">
      <c r="A230" s="1">
        <v>229.0</v>
      </c>
      <c r="B230" s="1" t="s">
        <v>1406</v>
      </c>
      <c r="C230" s="1" t="s">
        <v>1407</v>
      </c>
      <c r="E230" s="1" t="s">
        <v>1408</v>
      </c>
      <c r="F230" s="2" t="s">
        <v>1409</v>
      </c>
      <c r="G230" s="2" t="s">
        <v>1410</v>
      </c>
      <c r="H230" s="3" t="str">
        <f t="shared" si="1"/>
        <v>#NAME?</v>
      </c>
      <c r="I230" s="2" t="s">
        <v>1411</v>
      </c>
      <c r="J230" s="4" t="s">
        <v>1412</v>
      </c>
    </row>
    <row r="231">
      <c r="A231" s="1">
        <v>230.0</v>
      </c>
      <c r="B231" s="1" t="s">
        <v>1413</v>
      </c>
      <c r="C231" s="1" t="s">
        <v>1414</v>
      </c>
      <c r="E231" s="1" t="s">
        <v>1415</v>
      </c>
      <c r="F231" s="2" t="s">
        <v>1416</v>
      </c>
      <c r="G231" s="2" t="s">
        <v>1417</v>
      </c>
      <c r="H231" s="3" t="str">
        <f t="shared" si="1"/>
        <v>#NAME?</v>
      </c>
      <c r="I231" s="2" t="s">
        <v>1418</v>
      </c>
      <c r="J231" s="4" t="s">
        <v>1419</v>
      </c>
    </row>
    <row r="232">
      <c r="A232" s="1">
        <v>231.0</v>
      </c>
      <c r="B232" s="1" t="s">
        <v>1413</v>
      </c>
      <c r="C232" s="1" t="s">
        <v>1420</v>
      </c>
      <c r="E232" s="1" t="s">
        <v>1421</v>
      </c>
      <c r="F232" s="2" t="s">
        <v>1422</v>
      </c>
      <c r="G232" s="2" t="s">
        <v>1423</v>
      </c>
      <c r="H232" s="3" t="str">
        <f t="shared" si="1"/>
        <v>#NAME?</v>
      </c>
      <c r="I232" s="2" t="s">
        <v>1424</v>
      </c>
      <c r="J232" s="4" t="s">
        <v>1419</v>
      </c>
    </row>
    <row r="233">
      <c r="A233" s="1">
        <v>232.0</v>
      </c>
      <c r="B233" s="1" t="s">
        <v>1413</v>
      </c>
      <c r="C233" s="1" t="s">
        <v>1365</v>
      </c>
      <c r="E233" s="1" t="s">
        <v>1366</v>
      </c>
      <c r="F233" s="2" t="s">
        <v>1425</v>
      </c>
      <c r="G233" s="2" t="s">
        <v>1426</v>
      </c>
      <c r="H233" s="3" t="str">
        <f t="shared" si="1"/>
        <v>#NAME?</v>
      </c>
      <c r="I233" s="2" t="s">
        <v>1426</v>
      </c>
      <c r="J233" s="4" t="s">
        <v>1419</v>
      </c>
    </row>
    <row r="234">
      <c r="A234" s="1">
        <v>233.0</v>
      </c>
      <c r="B234" s="1" t="s">
        <v>1427</v>
      </c>
      <c r="C234" s="1" t="s">
        <v>1428</v>
      </c>
      <c r="E234" s="1" t="s">
        <v>1429</v>
      </c>
      <c r="F234" s="2" t="s">
        <v>1430</v>
      </c>
      <c r="G234" s="2" t="s">
        <v>1431</v>
      </c>
      <c r="H234" s="3" t="str">
        <f t="shared" si="1"/>
        <v>#NAME?</v>
      </c>
      <c r="I234" s="2" t="s">
        <v>1432</v>
      </c>
      <c r="J234" s="4" t="s">
        <v>1433</v>
      </c>
    </row>
    <row r="235">
      <c r="A235" s="1">
        <v>234.0</v>
      </c>
      <c r="B235" s="1" t="s">
        <v>1434</v>
      </c>
      <c r="C235" s="1" t="s">
        <v>1435</v>
      </c>
      <c r="E235" s="1" t="s">
        <v>1436</v>
      </c>
      <c r="F235" s="2" t="s">
        <v>1437</v>
      </c>
      <c r="G235" s="2" t="s">
        <v>1438</v>
      </c>
      <c r="H235" s="3" t="str">
        <f t="shared" si="1"/>
        <v>#NAME?</v>
      </c>
      <c r="I235" s="2" t="s">
        <v>1439</v>
      </c>
      <c r="J235" s="4" t="s">
        <v>1440</v>
      </c>
    </row>
    <row r="236">
      <c r="A236" s="1">
        <v>235.0</v>
      </c>
      <c r="B236" s="1" t="s">
        <v>1441</v>
      </c>
      <c r="C236" s="1" t="s">
        <v>1442</v>
      </c>
      <c r="E236" s="1" t="s">
        <v>1443</v>
      </c>
      <c r="F236" s="2" t="s">
        <v>1444</v>
      </c>
      <c r="G236" s="2" t="s">
        <v>1445</v>
      </c>
      <c r="H236" s="3" t="str">
        <f t="shared" si="1"/>
        <v>#NAME?</v>
      </c>
      <c r="I236" s="2" t="s">
        <v>1446</v>
      </c>
      <c r="J236" s="4" t="s">
        <v>1447</v>
      </c>
    </row>
    <row r="237">
      <c r="A237" s="1">
        <v>236.0</v>
      </c>
      <c r="B237" s="1" t="s">
        <v>1448</v>
      </c>
      <c r="C237" s="1" t="s">
        <v>1449</v>
      </c>
      <c r="E237" s="1" t="s">
        <v>1450</v>
      </c>
      <c r="F237" s="2" t="s">
        <v>1451</v>
      </c>
      <c r="G237" s="2" t="s">
        <v>1452</v>
      </c>
      <c r="H237" s="3" t="str">
        <f t="shared" si="1"/>
        <v>#NAME?</v>
      </c>
      <c r="I237" s="2" t="s">
        <v>1453</v>
      </c>
      <c r="J237" s="4" t="s">
        <v>1454</v>
      </c>
    </row>
    <row r="238">
      <c r="A238" s="1">
        <v>237.0</v>
      </c>
      <c r="B238" s="1" t="s">
        <v>1448</v>
      </c>
      <c r="C238" s="1" t="s">
        <v>1455</v>
      </c>
      <c r="E238" s="1" t="s">
        <v>1456</v>
      </c>
      <c r="F238" s="2" t="s">
        <v>1457</v>
      </c>
      <c r="G238" s="2" t="s">
        <v>1458</v>
      </c>
      <c r="H238" s="3" t="str">
        <f t="shared" si="1"/>
        <v>#NAME?</v>
      </c>
      <c r="I238" s="2" t="s">
        <v>1459</v>
      </c>
      <c r="J238" s="4" t="s">
        <v>1454</v>
      </c>
    </row>
    <row r="239">
      <c r="A239" s="1">
        <v>238.0</v>
      </c>
      <c r="B239" s="1" t="s">
        <v>1448</v>
      </c>
      <c r="C239" s="1" t="s">
        <v>1460</v>
      </c>
      <c r="E239" s="1" t="s">
        <v>1461</v>
      </c>
      <c r="F239" s="2" t="s">
        <v>1462</v>
      </c>
      <c r="G239" s="2" t="s">
        <v>1463</v>
      </c>
      <c r="H239" s="3" t="str">
        <f t="shared" si="1"/>
        <v>#NAME?</v>
      </c>
      <c r="I239" s="2" t="s">
        <v>1464</v>
      </c>
      <c r="J239" s="4" t="s">
        <v>1454</v>
      </c>
    </row>
    <row r="240">
      <c r="A240" s="1">
        <v>239.0</v>
      </c>
      <c r="B240" s="1" t="s">
        <v>1465</v>
      </c>
      <c r="C240" s="1" t="s">
        <v>1466</v>
      </c>
      <c r="E240" s="1" t="s">
        <v>1467</v>
      </c>
      <c r="F240" s="2" t="s">
        <v>1468</v>
      </c>
      <c r="G240" s="2" t="s">
        <v>1469</v>
      </c>
      <c r="H240" s="3" t="str">
        <f t="shared" si="1"/>
        <v>#NAME?</v>
      </c>
      <c r="I240" s="2" t="s">
        <v>1470</v>
      </c>
      <c r="J240" s="4" t="s">
        <v>1471</v>
      </c>
    </row>
    <row r="241">
      <c r="A241" s="1">
        <v>240.0</v>
      </c>
      <c r="B241" s="1" t="s">
        <v>1465</v>
      </c>
      <c r="C241" s="1" t="s">
        <v>1466</v>
      </c>
      <c r="E241" s="1" t="s">
        <v>1467</v>
      </c>
      <c r="F241" s="2" t="s">
        <v>1472</v>
      </c>
      <c r="G241" s="2" t="s">
        <v>1473</v>
      </c>
      <c r="H241" s="3" t="str">
        <f t="shared" si="1"/>
        <v>#NAME?</v>
      </c>
      <c r="I241" s="2" t="s">
        <v>1474</v>
      </c>
      <c r="J241" s="4" t="s">
        <v>1471</v>
      </c>
    </row>
    <row r="242">
      <c r="A242" s="1">
        <v>241.0</v>
      </c>
      <c r="B242" s="1" t="s">
        <v>1475</v>
      </c>
      <c r="C242" s="1" t="s">
        <v>1476</v>
      </c>
      <c r="E242" s="1" t="s">
        <v>1477</v>
      </c>
      <c r="F242" s="2" t="s">
        <v>1478</v>
      </c>
      <c r="G242" s="2" t="s">
        <v>1479</v>
      </c>
      <c r="H242" s="3" t="str">
        <f t="shared" si="1"/>
        <v>#NAME?</v>
      </c>
      <c r="I242" s="2" t="s">
        <v>1480</v>
      </c>
      <c r="J242" s="4" t="s">
        <v>1481</v>
      </c>
    </row>
    <row r="243">
      <c r="A243" s="1">
        <v>242.0</v>
      </c>
      <c r="B243" s="1" t="s">
        <v>1475</v>
      </c>
      <c r="C243" s="1" t="s">
        <v>1482</v>
      </c>
      <c r="E243" s="1" t="s">
        <v>1483</v>
      </c>
      <c r="F243" s="2" t="s">
        <v>1484</v>
      </c>
      <c r="G243" s="2" t="s">
        <v>1485</v>
      </c>
      <c r="H243" s="3" t="str">
        <f t="shared" si="1"/>
        <v>#NAME?</v>
      </c>
      <c r="I243" s="2" t="s">
        <v>1486</v>
      </c>
      <c r="J243" s="4" t="s">
        <v>1481</v>
      </c>
    </row>
    <row r="244">
      <c r="A244" s="1">
        <v>243.0</v>
      </c>
      <c r="B244" s="1" t="s">
        <v>1475</v>
      </c>
      <c r="C244" s="1" t="s">
        <v>1487</v>
      </c>
      <c r="E244" s="1" t="s">
        <v>1488</v>
      </c>
      <c r="F244" s="2" t="s">
        <v>1489</v>
      </c>
      <c r="G244" s="2" t="s">
        <v>1490</v>
      </c>
      <c r="H244" s="3" t="str">
        <f t="shared" si="1"/>
        <v>#NAME?</v>
      </c>
      <c r="I244" s="2" t="s">
        <v>1491</v>
      </c>
      <c r="J244" s="4" t="s">
        <v>1481</v>
      </c>
    </row>
    <row r="245">
      <c r="A245" s="1">
        <v>244.0</v>
      </c>
      <c r="B245" s="1" t="s">
        <v>1492</v>
      </c>
      <c r="C245" s="1" t="s">
        <v>1493</v>
      </c>
      <c r="E245" s="1" t="s">
        <v>1494</v>
      </c>
      <c r="F245" s="2" t="s">
        <v>1495</v>
      </c>
      <c r="G245" s="2" t="s">
        <v>1496</v>
      </c>
      <c r="H245" s="3" t="str">
        <f t="shared" si="1"/>
        <v>#NAME?</v>
      </c>
      <c r="I245" s="2" t="s">
        <v>1497</v>
      </c>
      <c r="J245" s="4" t="s">
        <v>1498</v>
      </c>
    </row>
    <row r="246">
      <c r="A246" s="1">
        <v>245.0</v>
      </c>
      <c r="B246" s="1" t="s">
        <v>1499</v>
      </c>
      <c r="C246" s="1" t="s">
        <v>1500</v>
      </c>
      <c r="E246" s="1" t="s">
        <v>1501</v>
      </c>
      <c r="F246" s="2" t="s">
        <v>1502</v>
      </c>
      <c r="G246" s="2" t="s">
        <v>1503</v>
      </c>
      <c r="H246" s="3" t="str">
        <f t="shared" si="1"/>
        <v>#NAME?</v>
      </c>
      <c r="I246" s="2" t="s">
        <v>1504</v>
      </c>
      <c r="J246" s="4" t="s">
        <v>1505</v>
      </c>
    </row>
    <row r="247">
      <c r="A247" s="1">
        <v>246.0</v>
      </c>
      <c r="B247" s="1" t="s">
        <v>1499</v>
      </c>
      <c r="C247" s="1" t="s">
        <v>1506</v>
      </c>
      <c r="E247" s="1" t="s">
        <v>1507</v>
      </c>
      <c r="F247" s="2" t="s">
        <v>1508</v>
      </c>
      <c r="G247" s="2" t="s">
        <v>1509</v>
      </c>
      <c r="H247" s="3" t="str">
        <f t="shared" si="1"/>
        <v>#NAME?</v>
      </c>
      <c r="I247" s="2" t="s">
        <v>1510</v>
      </c>
      <c r="J247" s="4" t="s">
        <v>1505</v>
      </c>
    </row>
    <row r="248">
      <c r="A248" s="1">
        <v>247.0</v>
      </c>
      <c r="B248" s="1" t="s">
        <v>1499</v>
      </c>
      <c r="C248" s="1" t="s">
        <v>1511</v>
      </c>
      <c r="E248" s="1" t="s">
        <v>1512</v>
      </c>
      <c r="F248" s="2" t="s">
        <v>1513</v>
      </c>
      <c r="G248" s="2" t="s">
        <v>1514</v>
      </c>
      <c r="H248" s="3" t="str">
        <f t="shared" si="1"/>
        <v>#NAME?</v>
      </c>
      <c r="I248" s="2" t="s">
        <v>1515</v>
      </c>
      <c r="J248" s="4" t="s">
        <v>1505</v>
      </c>
    </row>
    <row r="249">
      <c r="A249" s="1">
        <v>248.0</v>
      </c>
      <c r="B249" s="1" t="s">
        <v>1516</v>
      </c>
      <c r="C249" s="1" t="s">
        <v>1517</v>
      </c>
      <c r="E249" s="1" t="s">
        <v>1518</v>
      </c>
      <c r="F249" s="2" t="s">
        <v>1519</v>
      </c>
      <c r="G249" s="2" t="s">
        <v>1520</v>
      </c>
      <c r="H249" s="3" t="str">
        <f t="shared" si="1"/>
        <v>#NAME?</v>
      </c>
      <c r="I249" s="2" t="s">
        <v>1521</v>
      </c>
      <c r="J249" s="4" t="s">
        <v>1522</v>
      </c>
    </row>
    <row r="250">
      <c r="A250" s="1">
        <v>249.0</v>
      </c>
      <c r="B250" s="1" t="s">
        <v>1523</v>
      </c>
      <c r="C250" s="1" t="s">
        <v>1524</v>
      </c>
      <c r="E250" s="1" t="s">
        <v>1525</v>
      </c>
      <c r="F250" s="2" t="s">
        <v>1526</v>
      </c>
      <c r="G250" s="2" t="s">
        <v>1527</v>
      </c>
      <c r="H250" s="3" t="str">
        <f t="shared" si="1"/>
        <v>#NAME?</v>
      </c>
      <c r="I250" s="2" t="s">
        <v>1528</v>
      </c>
      <c r="J250" s="4" t="s">
        <v>1529</v>
      </c>
    </row>
    <row r="251">
      <c r="A251" s="1">
        <v>250.0</v>
      </c>
      <c r="B251" s="1" t="s">
        <v>1530</v>
      </c>
      <c r="C251" s="1" t="s">
        <v>1531</v>
      </c>
      <c r="E251" s="1" t="s">
        <v>1532</v>
      </c>
      <c r="F251" s="2" t="s">
        <v>1533</v>
      </c>
      <c r="G251" s="2" t="s">
        <v>1534</v>
      </c>
      <c r="H251" s="3" t="str">
        <f t="shared" si="1"/>
        <v>#NAME?</v>
      </c>
      <c r="I251" s="2" t="s">
        <v>1535</v>
      </c>
      <c r="J251" s="4" t="s">
        <v>1536</v>
      </c>
    </row>
    <row r="252">
      <c r="A252" s="1">
        <v>251.0</v>
      </c>
      <c r="B252" s="1" t="s">
        <v>1530</v>
      </c>
      <c r="C252" s="1" t="s">
        <v>1537</v>
      </c>
      <c r="E252" s="1" t="s">
        <v>1538</v>
      </c>
      <c r="F252" s="2" t="s">
        <v>1539</v>
      </c>
      <c r="G252" s="2" t="s">
        <v>1540</v>
      </c>
      <c r="H252" s="3" t="str">
        <f t="shared" si="1"/>
        <v>#NAME?</v>
      </c>
      <c r="I252" s="2" t="s">
        <v>1541</v>
      </c>
      <c r="J252" s="4" t="s">
        <v>1536</v>
      </c>
    </row>
    <row r="253">
      <c r="A253" s="1">
        <v>252.0</v>
      </c>
      <c r="B253" s="1" t="s">
        <v>1530</v>
      </c>
      <c r="C253" s="1" t="s">
        <v>1542</v>
      </c>
      <c r="E253" s="1" t="s">
        <v>1543</v>
      </c>
      <c r="F253" s="2" t="s">
        <v>1544</v>
      </c>
      <c r="G253" s="2" t="s">
        <v>1545</v>
      </c>
      <c r="H253" s="3" t="str">
        <f t="shared" si="1"/>
        <v>#NAME?</v>
      </c>
      <c r="I253" s="2" t="s">
        <v>1546</v>
      </c>
      <c r="J253" s="4" t="s">
        <v>1536</v>
      </c>
    </row>
    <row r="254">
      <c r="A254" s="1">
        <v>253.0</v>
      </c>
      <c r="B254" s="1" t="s">
        <v>1547</v>
      </c>
      <c r="C254" s="1" t="s">
        <v>1548</v>
      </c>
      <c r="E254" s="1" t="s">
        <v>1549</v>
      </c>
      <c r="F254" s="2" t="s">
        <v>1550</v>
      </c>
      <c r="G254" s="2" t="s">
        <v>1551</v>
      </c>
      <c r="H254" s="3" t="str">
        <f t="shared" si="1"/>
        <v>#NAME?</v>
      </c>
      <c r="I254" s="2" t="s">
        <v>1552</v>
      </c>
      <c r="J254" s="4" t="s">
        <v>1553</v>
      </c>
    </row>
    <row r="255">
      <c r="A255" s="1">
        <v>254.0</v>
      </c>
      <c r="B255" s="1" t="s">
        <v>1554</v>
      </c>
      <c r="C255" s="1" t="s">
        <v>1555</v>
      </c>
      <c r="E255" s="1" t="s">
        <v>1556</v>
      </c>
      <c r="F255" s="2" t="s">
        <v>1557</v>
      </c>
      <c r="G255" s="2" t="s">
        <v>1558</v>
      </c>
      <c r="H255" s="3" t="str">
        <f t="shared" si="1"/>
        <v>#NAME?</v>
      </c>
      <c r="I255" s="2" t="s">
        <v>1559</v>
      </c>
      <c r="J255" s="4" t="s">
        <v>1560</v>
      </c>
    </row>
    <row r="256">
      <c r="A256" s="1">
        <v>255.0</v>
      </c>
      <c r="B256" s="1" t="s">
        <v>1561</v>
      </c>
      <c r="C256" s="1" t="s">
        <v>1562</v>
      </c>
      <c r="E256" s="1" t="s">
        <v>1563</v>
      </c>
      <c r="F256" s="2" t="s">
        <v>1564</v>
      </c>
      <c r="G256" s="2" t="s">
        <v>1565</v>
      </c>
      <c r="H256" s="3" t="str">
        <f t="shared" si="1"/>
        <v>#NAME?</v>
      </c>
      <c r="I256" s="2" t="s">
        <v>1566</v>
      </c>
      <c r="J256" s="4" t="s">
        <v>1567</v>
      </c>
    </row>
    <row r="257">
      <c r="A257" s="1">
        <v>256.0</v>
      </c>
      <c r="B257" s="1" t="s">
        <v>1561</v>
      </c>
      <c r="C257" s="1" t="s">
        <v>1568</v>
      </c>
      <c r="E257" s="1" t="s">
        <v>1569</v>
      </c>
      <c r="F257" s="2" t="s">
        <v>1570</v>
      </c>
      <c r="G257" s="2" t="s">
        <v>1571</v>
      </c>
      <c r="H257" s="3" t="str">
        <f t="shared" si="1"/>
        <v>#NAME?</v>
      </c>
      <c r="I257" s="2" t="s">
        <v>1572</v>
      </c>
      <c r="J257" s="4" t="s">
        <v>1567</v>
      </c>
    </row>
    <row r="258">
      <c r="A258" s="1">
        <v>257.0</v>
      </c>
      <c r="B258" s="1" t="s">
        <v>1561</v>
      </c>
      <c r="C258" s="1" t="s">
        <v>1573</v>
      </c>
      <c r="E258" s="1" t="s">
        <v>1574</v>
      </c>
      <c r="F258" s="2" t="s">
        <v>1575</v>
      </c>
      <c r="G258" s="2" t="s">
        <v>1576</v>
      </c>
      <c r="H258" s="3" t="str">
        <f t="shared" si="1"/>
        <v>#NAME?</v>
      </c>
      <c r="I258" s="2" t="s">
        <v>1577</v>
      </c>
      <c r="J258" s="4" t="s">
        <v>1567</v>
      </c>
    </row>
    <row r="259">
      <c r="A259" s="1">
        <v>258.0</v>
      </c>
      <c r="B259" s="1" t="s">
        <v>1578</v>
      </c>
      <c r="C259" s="1" t="s">
        <v>1579</v>
      </c>
      <c r="E259" s="1" t="s">
        <v>1580</v>
      </c>
      <c r="F259" s="2" t="s">
        <v>1581</v>
      </c>
      <c r="G259" s="2" t="s">
        <v>1582</v>
      </c>
      <c r="H259" s="3" t="str">
        <f t="shared" si="1"/>
        <v>#NAME?</v>
      </c>
      <c r="I259" s="2" t="s">
        <v>1583</v>
      </c>
      <c r="J259" s="4" t="s">
        <v>1584</v>
      </c>
    </row>
    <row r="260">
      <c r="A260" s="1">
        <v>259.0</v>
      </c>
      <c r="B260" s="1" t="s">
        <v>1585</v>
      </c>
      <c r="C260" s="1" t="s">
        <v>1586</v>
      </c>
      <c r="E260" s="1" t="s">
        <v>1586</v>
      </c>
      <c r="F260" s="2" t="s">
        <v>1587</v>
      </c>
      <c r="G260" s="2" t="s">
        <v>1588</v>
      </c>
      <c r="H260" s="3" t="str">
        <f t="shared" si="1"/>
        <v>#NAME?</v>
      </c>
      <c r="I260" s="2" t="s">
        <v>1589</v>
      </c>
      <c r="J260" s="4" t="s">
        <v>1590</v>
      </c>
    </row>
    <row r="261">
      <c r="A261" s="1">
        <v>260.0</v>
      </c>
      <c r="B261" s="1" t="s">
        <v>1585</v>
      </c>
      <c r="C261" s="1" t="s">
        <v>1591</v>
      </c>
      <c r="E261" s="1" t="s">
        <v>1592</v>
      </c>
      <c r="F261" s="2" t="s">
        <v>1593</v>
      </c>
      <c r="G261" s="2" t="s">
        <v>1594</v>
      </c>
      <c r="H261" s="3" t="str">
        <f t="shared" si="1"/>
        <v>#NAME?</v>
      </c>
      <c r="I261" s="2" t="s">
        <v>1595</v>
      </c>
      <c r="J261" s="4" t="s">
        <v>1590</v>
      </c>
    </row>
    <row r="262">
      <c r="A262" s="1">
        <v>261.0</v>
      </c>
      <c r="B262" s="1" t="s">
        <v>1596</v>
      </c>
      <c r="C262" s="1" t="s">
        <v>1597</v>
      </c>
      <c r="E262" s="1" t="s">
        <v>1598</v>
      </c>
      <c r="F262" s="2" t="s">
        <v>1599</v>
      </c>
      <c r="G262" s="2" t="s">
        <v>1600</v>
      </c>
      <c r="H262" s="3" t="str">
        <f t="shared" si="1"/>
        <v>#NAME?</v>
      </c>
      <c r="I262" s="2" t="s">
        <v>1601</v>
      </c>
      <c r="J262" s="4" t="s">
        <v>1602</v>
      </c>
    </row>
    <row r="263">
      <c r="A263" s="1">
        <v>262.0</v>
      </c>
      <c r="B263" s="1" t="s">
        <v>1603</v>
      </c>
      <c r="C263" s="1" t="s">
        <v>1604</v>
      </c>
      <c r="E263" s="1" t="s">
        <v>1605</v>
      </c>
      <c r="F263" s="2" t="s">
        <v>858</v>
      </c>
      <c r="G263" s="2" t="s">
        <v>1606</v>
      </c>
      <c r="H263" s="3" t="str">
        <f t="shared" si="1"/>
        <v>#NAME?</v>
      </c>
      <c r="I263" s="2" t="s">
        <v>1607</v>
      </c>
      <c r="J263" s="4" t="s">
        <v>1608</v>
      </c>
    </row>
    <row r="264">
      <c r="A264" s="1">
        <v>263.0</v>
      </c>
      <c r="B264" s="1" t="s">
        <v>1609</v>
      </c>
      <c r="C264" s="1" t="s">
        <v>1610</v>
      </c>
      <c r="E264" s="1" t="s">
        <v>1611</v>
      </c>
      <c r="F264" s="2" t="s">
        <v>1207</v>
      </c>
      <c r="G264" s="2" t="s">
        <v>1612</v>
      </c>
      <c r="H264" s="3" t="str">
        <f t="shared" si="1"/>
        <v>#NAME?</v>
      </c>
      <c r="I264" s="2" t="s">
        <v>1613</v>
      </c>
      <c r="J264" s="4" t="s">
        <v>1614</v>
      </c>
    </row>
    <row r="265">
      <c r="A265" s="1">
        <v>264.0</v>
      </c>
      <c r="B265" s="1" t="s">
        <v>1615</v>
      </c>
      <c r="C265" s="1" t="s">
        <v>1616</v>
      </c>
      <c r="E265" s="1" t="s">
        <v>1617</v>
      </c>
      <c r="F265" s="2" t="s">
        <v>1618</v>
      </c>
      <c r="G265" s="2" t="s">
        <v>1619</v>
      </c>
      <c r="H265" s="3" t="str">
        <f t="shared" si="1"/>
        <v>#NAME?</v>
      </c>
      <c r="I265" s="2" t="s">
        <v>1620</v>
      </c>
      <c r="J265" s="4" t="s">
        <v>1621</v>
      </c>
    </row>
    <row r="266">
      <c r="A266" s="1">
        <v>265.0</v>
      </c>
      <c r="B266" s="1" t="s">
        <v>1622</v>
      </c>
      <c r="C266" s="1" t="s">
        <v>1623</v>
      </c>
      <c r="E266" s="1" t="s">
        <v>1624</v>
      </c>
      <c r="F266" s="2" t="s">
        <v>1625</v>
      </c>
      <c r="G266" s="2" t="s">
        <v>1626</v>
      </c>
      <c r="H266" s="3" t="str">
        <f t="shared" si="1"/>
        <v>#NAME?</v>
      </c>
      <c r="I266" s="2" t="s">
        <v>1627</v>
      </c>
      <c r="J266" s="4" t="s">
        <v>1628</v>
      </c>
    </row>
    <row r="267">
      <c r="A267" s="1">
        <v>266.0</v>
      </c>
      <c r="B267" s="1" t="s">
        <v>1629</v>
      </c>
      <c r="C267" s="1" t="s">
        <v>1630</v>
      </c>
      <c r="E267" s="1" t="s">
        <v>1631</v>
      </c>
      <c r="F267" s="2" t="s">
        <v>1632</v>
      </c>
      <c r="G267" s="2" t="s">
        <v>1633</v>
      </c>
      <c r="H267" s="3" t="str">
        <f t="shared" si="1"/>
        <v>#NAME?</v>
      </c>
      <c r="I267" s="2" t="s">
        <v>1634</v>
      </c>
      <c r="J267" s="4" t="s">
        <v>1635</v>
      </c>
    </row>
    <row r="268">
      <c r="A268" s="1">
        <v>267.0</v>
      </c>
      <c r="B268" s="1" t="s">
        <v>1636</v>
      </c>
      <c r="C268" s="1" t="s">
        <v>1637</v>
      </c>
      <c r="E268" s="1" t="s">
        <v>1638</v>
      </c>
      <c r="F268" s="2" t="s">
        <v>1639</v>
      </c>
      <c r="G268" s="2" t="s">
        <v>1640</v>
      </c>
      <c r="H268" s="3" t="str">
        <f t="shared" si="1"/>
        <v>#NAME?</v>
      </c>
      <c r="I268" s="2" t="s">
        <v>1641</v>
      </c>
      <c r="J268" s="4" t="s">
        <v>1642</v>
      </c>
    </row>
    <row r="269">
      <c r="A269" s="1">
        <v>268.0</v>
      </c>
      <c r="B269" s="1" t="s">
        <v>1636</v>
      </c>
      <c r="C269" s="1" t="s">
        <v>1643</v>
      </c>
      <c r="E269" s="1" t="s">
        <v>1644</v>
      </c>
      <c r="F269" s="2" t="s">
        <v>1645</v>
      </c>
      <c r="G269" s="2" t="s">
        <v>1646</v>
      </c>
      <c r="H269" s="3" t="str">
        <f t="shared" si="1"/>
        <v>#NAME?</v>
      </c>
      <c r="I269" s="2" t="s">
        <v>1647</v>
      </c>
      <c r="J269" s="4" t="s">
        <v>1642</v>
      </c>
    </row>
    <row r="270">
      <c r="A270" s="1">
        <v>269.0</v>
      </c>
      <c r="B270" s="1" t="s">
        <v>1648</v>
      </c>
      <c r="C270" s="1" t="s">
        <v>1649</v>
      </c>
      <c r="E270" s="1" t="s">
        <v>1650</v>
      </c>
      <c r="F270" s="2" t="s">
        <v>1651</v>
      </c>
      <c r="G270" s="2" t="s">
        <v>1652</v>
      </c>
      <c r="H270" s="3" t="str">
        <f t="shared" si="1"/>
        <v>#NAME?</v>
      </c>
      <c r="I270" s="2" t="s">
        <v>1653</v>
      </c>
      <c r="J270" s="4" t="s">
        <v>1654</v>
      </c>
    </row>
    <row r="271">
      <c r="A271" s="1">
        <v>270.0</v>
      </c>
      <c r="B271" s="1" t="s">
        <v>1655</v>
      </c>
      <c r="C271" s="1" t="s">
        <v>1656</v>
      </c>
      <c r="E271" s="1" t="s">
        <v>1657</v>
      </c>
      <c r="F271" s="2" t="s">
        <v>1658</v>
      </c>
      <c r="G271" s="2" t="s">
        <v>1659</v>
      </c>
      <c r="H271" s="3" t="str">
        <f t="shared" si="1"/>
        <v>#NAME?</v>
      </c>
      <c r="I271" s="2" t="s">
        <v>1660</v>
      </c>
      <c r="J271" s="4" t="s">
        <v>1661</v>
      </c>
    </row>
    <row r="272">
      <c r="A272" s="1">
        <v>271.0</v>
      </c>
      <c r="B272" s="1" t="s">
        <v>1655</v>
      </c>
      <c r="C272" s="1" t="s">
        <v>1662</v>
      </c>
      <c r="E272" s="1" t="s">
        <v>1663</v>
      </c>
      <c r="F272" s="2" t="s">
        <v>1664</v>
      </c>
      <c r="G272" s="2" t="s">
        <v>1665</v>
      </c>
      <c r="H272" s="3" t="str">
        <f t="shared" si="1"/>
        <v>#NAME?</v>
      </c>
      <c r="I272" s="2" t="s">
        <v>1666</v>
      </c>
      <c r="J272" s="4" t="s">
        <v>1661</v>
      </c>
    </row>
    <row r="273">
      <c r="A273" s="1">
        <v>272.0</v>
      </c>
      <c r="B273" s="1" t="s">
        <v>1655</v>
      </c>
      <c r="C273" s="1" t="s">
        <v>1656</v>
      </c>
      <c r="E273" s="1" t="s">
        <v>1657</v>
      </c>
      <c r="F273" s="2" t="s">
        <v>1667</v>
      </c>
      <c r="G273" s="2" t="s">
        <v>1668</v>
      </c>
      <c r="H273" s="3" t="str">
        <f t="shared" si="1"/>
        <v>#NAME?</v>
      </c>
      <c r="I273" s="2" t="s">
        <v>1669</v>
      </c>
      <c r="J273" s="4" t="s">
        <v>1661</v>
      </c>
    </row>
    <row r="274">
      <c r="A274" s="1">
        <v>273.0</v>
      </c>
      <c r="B274" s="1" t="s">
        <v>1655</v>
      </c>
      <c r="C274" s="1" t="s">
        <v>1662</v>
      </c>
      <c r="E274" s="1" t="s">
        <v>1663</v>
      </c>
      <c r="F274" s="2" t="s">
        <v>1670</v>
      </c>
      <c r="G274" s="2" t="s">
        <v>1671</v>
      </c>
      <c r="H274" s="3" t="str">
        <f t="shared" si="1"/>
        <v>#NAME?</v>
      </c>
      <c r="I274" s="2" t="s">
        <v>1672</v>
      </c>
      <c r="J274" s="4" t="s">
        <v>1661</v>
      </c>
    </row>
    <row r="275">
      <c r="A275" s="1">
        <v>274.0</v>
      </c>
      <c r="B275" s="1" t="s">
        <v>1655</v>
      </c>
      <c r="C275" s="1" t="s">
        <v>1656</v>
      </c>
      <c r="E275" s="1" t="s">
        <v>1657</v>
      </c>
      <c r="F275" s="2" t="s">
        <v>1673</v>
      </c>
      <c r="G275" s="2" t="s">
        <v>1674</v>
      </c>
      <c r="H275" s="3" t="str">
        <f t="shared" si="1"/>
        <v>#NAME?</v>
      </c>
      <c r="I275" s="2" t="s">
        <v>1675</v>
      </c>
      <c r="J275" s="4" t="s">
        <v>1661</v>
      </c>
    </row>
    <row r="276">
      <c r="A276" s="1">
        <v>275.0</v>
      </c>
      <c r="B276" s="1" t="s">
        <v>1655</v>
      </c>
      <c r="C276" s="1" t="s">
        <v>1662</v>
      </c>
      <c r="E276" s="1" t="s">
        <v>1663</v>
      </c>
      <c r="F276" s="2" t="s">
        <v>1676</v>
      </c>
      <c r="G276" s="2" t="s">
        <v>1677</v>
      </c>
      <c r="H276" s="3" t="str">
        <f t="shared" si="1"/>
        <v>#NAME?</v>
      </c>
      <c r="I276" s="2" t="s">
        <v>1678</v>
      </c>
      <c r="J276" s="4" t="s">
        <v>1661</v>
      </c>
    </row>
    <row r="277">
      <c r="A277" s="1">
        <v>276.0</v>
      </c>
      <c r="B277" s="1" t="s">
        <v>1679</v>
      </c>
      <c r="C277" s="1" t="s">
        <v>1680</v>
      </c>
      <c r="E277" s="1" t="s">
        <v>1681</v>
      </c>
      <c r="F277" s="2" t="s">
        <v>1682</v>
      </c>
      <c r="G277" s="2" t="s">
        <v>1683</v>
      </c>
      <c r="H277" s="3" t="str">
        <f t="shared" si="1"/>
        <v>#NAME?</v>
      </c>
      <c r="I277" s="2" t="s">
        <v>1684</v>
      </c>
      <c r="J277" s="4" t="s">
        <v>1685</v>
      </c>
    </row>
    <row r="278">
      <c r="A278" s="1">
        <v>277.0</v>
      </c>
      <c r="B278" s="1" t="s">
        <v>1686</v>
      </c>
      <c r="C278" s="1" t="s">
        <v>1687</v>
      </c>
      <c r="E278" s="1" t="s">
        <v>1688</v>
      </c>
      <c r="F278" s="2" t="s">
        <v>1689</v>
      </c>
      <c r="G278" s="2" t="s">
        <v>1690</v>
      </c>
      <c r="H278" s="3" t="str">
        <f t="shared" si="1"/>
        <v>#NAME?</v>
      </c>
      <c r="I278" s="2" t="s">
        <v>1691</v>
      </c>
      <c r="J278" s="4" t="s">
        <v>1692</v>
      </c>
    </row>
    <row r="279">
      <c r="A279" s="1">
        <v>278.0</v>
      </c>
      <c r="B279" s="1" t="s">
        <v>1686</v>
      </c>
      <c r="C279" s="1" t="s">
        <v>1693</v>
      </c>
      <c r="E279" s="1" t="s">
        <v>1694</v>
      </c>
      <c r="F279" s="2" t="s">
        <v>1695</v>
      </c>
      <c r="G279" s="2" t="s">
        <v>1696</v>
      </c>
      <c r="H279" s="3" t="str">
        <f t="shared" si="1"/>
        <v>#NAME?</v>
      </c>
      <c r="I279" s="2" t="s">
        <v>1697</v>
      </c>
      <c r="J279" s="4" t="s">
        <v>1692</v>
      </c>
    </row>
    <row r="280">
      <c r="A280" s="1">
        <v>279.0</v>
      </c>
      <c r="B280" s="1" t="s">
        <v>1698</v>
      </c>
      <c r="C280" s="1" t="s">
        <v>1699</v>
      </c>
      <c r="E280" s="1" t="s">
        <v>1700</v>
      </c>
      <c r="F280" s="2" t="s">
        <v>410</v>
      </c>
      <c r="G280" s="2" t="s">
        <v>1701</v>
      </c>
      <c r="H280" s="3" t="str">
        <f t="shared" si="1"/>
        <v>#NAME?</v>
      </c>
      <c r="I280" s="2" t="s">
        <v>1702</v>
      </c>
      <c r="J280" s="4" t="s">
        <v>1703</v>
      </c>
    </row>
    <row r="281">
      <c r="A281" s="1">
        <v>280.0</v>
      </c>
      <c r="B281" s="1" t="s">
        <v>1704</v>
      </c>
      <c r="C281" s="1" t="s">
        <v>1705</v>
      </c>
      <c r="E281" s="1" t="s">
        <v>1706</v>
      </c>
      <c r="F281" s="2" t="s">
        <v>1707</v>
      </c>
      <c r="G281" s="2" t="s">
        <v>1708</v>
      </c>
      <c r="H281" s="3" t="str">
        <f t="shared" si="1"/>
        <v>#NAME?</v>
      </c>
      <c r="I281" s="2" t="s">
        <v>1709</v>
      </c>
      <c r="J281" s="4" t="s">
        <v>1710</v>
      </c>
    </row>
    <row r="282">
      <c r="A282" s="1">
        <v>281.0</v>
      </c>
      <c r="B282" s="1" t="s">
        <v>1704</v>
      </c>
      <c r="C282" s="1" t="s">
        <v>1711</v>
      </c>
      <c r="E282" s="1" t="s">
        <v>1712</v>
      </c>
      <c r="F282" s="2" t="s">
        <v>1713</v>
      </c>
      <c r="G282" s="2" t="s">
        <v>1714</v>
      </c>
      <c r="H282" s="3" t="str">
        <f t="shared" si="1"/>
        <v>#NAME?</v>
      </c>
      <c r="I282" s="2" t="s">
        <v>1715</v>
      </c>
      <c r="J282" s="4" t="s">
        <v>1710</v>
      </c>
    </row>
    <row r="283">
      <c r="A283" s="1">
        <v>282.0</v>
      </c>
      <c r="B283" s="1" t="s">
        <v>1716</v>
      </c>
      <c r="C283" s="1" t="s">
        <v>1717</v>
      </c>
      <c r="E283" s="1" t="s">
        <v>1718</v>
      </c>
      <c r="F283" s="2" t="s">
        <v>1719</v>
      </c>
      <c r="G283" s="2" t="s">
        <v>1720</v>
      </c>
      <c r="H283" s="3" t="str">
        <f t="shared" si="1"/>
        <v>#NAME?</v>
      </c>
      <c r="I283" s="2" t="s">
        <v>1721</v>
      </c>
      <c r="J283" s="4" t="s">
        <v>1722</v>
      </c>
    </row>
    <row r="284">
      <c r="A284" s="1">
        <v>283.0</v>
      </c>
      <c r="B284" s="1" t="s">
        <v>1723</v>
      </c>
      <c r="C284" s="1" t="s">
        <v>1724</v>
      </c>
      <c r="E284" s="1" t="s">
        <v>1725</v>
      </c>
      <c r="F284" s="2" t="s">
        <v>1726</v>
      </c>
      <c r="G284" s="2" t="s">
        <v>1727</v>
      </c>
      <c r="H284" s="3" t="str">
        <f t="shared" si="1"/>
        <v>#NAME?</v>
      </c>
      <c r="I284" s="2" t="s">
        <v>1728</v>
      </c>
      <c r="J284" s="4" t="s">
        <v>1729</v>
      </c>
    </row>
    <row r="285">
      <c r="A285" s="1">
        <v>284.0</v>
      </c>
      <c r="B285" s="1" t="s">
        <v>1730</v>
      </c>
      <c r="C285" s="1" t="s">
        <v>1731</v>
      </c>
      <c r="E285" s="1" t="s">
        <v>1732</v>
      </c>
      <c r="F285" s="2" t="s">
        <v>1733</v>
      </c>
      <c r="G285" s="2" t="s">
        <v>1734</v>
      </c>
      <c r="H285" s="3" t="str">
        <f t="shared" si="1"/>
        <v>#NAME?</v>
      </c>
      <c r="I285" s="2" t="s">
        <v>1735</v>
      </c>
      <c r="J285" s="4" t="s">
        <v>1736</v>
      </c>
    </row>
    <row r="286">
      <c r="A286" s="1">
        <v>285.0</v>
      </c>
      <c r="B286" s="1" t="s">
        <v>1730</v>
      </c>
      <c r="C286" s="1" t="s">
        <v>1737</v>
      </c>
      <c r="E286" s="1" t="s">
        <v>1738</v>
      </c>
      <c r="F286" s="2" t="s">
        <v>1739</v>
      </c>
      <c r="G286" s="2" t="s">
        <v>1740</v>
      </c>
      <c r="H286" s="3" t="str">
        <f t="shared" si="1"/>
        <v>#NAME?</v>
      </c>
      <c r="I286" s="2" t="s">
        <v>1741</v>
      </c>
      <c r="J286" s="4" t="s">
        <v>1736</v>
      </c>
    </row>
    <row r="287">
      <c r="A287" s="1">
        <v>286.0</v>
      </c>
      <c r="B287" s="1" t="s">
        <v>1742</v>
      </c>
      <c r="C287" s="1" t="s">
        <v>1743</v>
      </c>
      <c r="E287" s="1" t="s">
        <v>1744</v>
      </c>
      <c r="F287" s="2" t="s">
        <v>1745</v>
      </c>
      <c r="G287" s="2" t="s">
        <v>1746</v>
      </c>
      <c r="H287" s="3" t="str">
        <f t="shared" si="1"/>
        <v>#NAME?</v>
      </c>
      <c r="I287" s="2" t="s">
        <v>1747</v>
      </c>
      <c r="J287" s="4" t="s">
        <v>1748</v>
      </c>
    </row>
    <row r="288">
      <c r="A288" s="1">
        <v>287.0</v>
      </c>
      <c r="B288" s="1" t="s">
        <v>1749</v>
      </c>
      <c r="C288" s="1" t="s">
        <v>1750</v>
      </c>
      <c r="E288" s="1" t="s">
        <v>1751</v>
      </c>
      <c r="F288" s="2" t="s">
        <v>1752</v>
      </c>
      <c r="G288" s="2" t="s">
        <v>1753</v>
      </c>
      <c r="H288" s="3" t="str">
        <f t="shared" si="1"/>
        <v>#NAME?</v>
      </c>
      <c r="I288" s="2" t="s">
        <v>1754</v>
      </c>
      <c r="J288" s="4" t="s">
        <v>1755</v>
      </c>
    </row>
    <row r="289">
      <c r="A289" s="1">
        <v>288.0</v>
      </c>
      <c r="B289" s="1" t="s">
        <v>1749</v>
      </c>
      <c r="C289" s="1" t="s">
        <v>1756</v>
      </c>
      <c r="E289" s="1" t="s">
        <v>1757</v>
      </c>
      <c r="F289" s="2" t="s">
        <v>1758</v>
      </c>
      <c r="G289" s="2" t="s">
        <v>1759</v>
      </c>
      <c r="H289" s="3" t="str">
        <f t="shared" si="1"/>
        <v>#NAME?</v>
      </c>
      <c r="I289" s="2" t="s">
        <v>1760</v>
      </c>
      <c r="J289" s="4" t="s">
        <v>1755</v>
      </c>
    </row>
    <row r="290">
      <c r="A290" s="1">
        <v>289.0</v>
      </c>
      <c r="B290" s="1" t="s">
        <v>1761</v>
      </c>
      <c r="C290" s="1" t="s">
        <v>1762</v>
      </c>
      <c r="E290" s="1" t="s">
        <v>1763</v>
      </c>
      <c r="F290" s="2" t="s">
        <v>1764</v>
      </c>
      <c r="G290" s="2" t="s">
        <v>1765</v>
      </c>
      <c r="H290" s="3" t="str">
        <f t="shared" si="1"/>
        <v>#NAME?</v>
      </c>
      <c r="I290" s="2" t="s">
        <v>1766</v>
      </c>
      <c r="J290" s="4" t="s">
        <v>1767</v>
      </c>
    </row>
    <row r="291">
      <c r="A291" s="1">
        <v>290.0</v>
      </c>
      <c r="B291" s="1" t="s">
        <v>1768</v>
      </c>
      <c r="C291" s="1" t="s">
        <v>1769</v>
      </c>
      <c r="E291" s="1" t="s">
        <v>1770</v>
      </c>
      <c r="F291" s="2" t="s">
        <v>1771</v>
      </c>
      <c r="G291" s="2" t="s">
        <v>1772</v>
      </c>
      <c r="H291" s="3" t="str">
        <f t="shared" si="1"/>
        <v>#NAME?</v>
      </c>
      <c r="I291" s="2" t="s">
        <v>1773</v>
      </c>
      <c r="J291" s="4" t="s">
        <v>1774</v>
      </c>
    </row>
    <row r="292">
      <c r="A292" s="1">
        <v>291.0</v>
      </c>
      <c r="B292" s="1" t="s">
        <v>1775</v>
      </c>
      <c r="C292" s="1" t="s">
        <v>1776</v>
      </c>
      <c r="E292" s="1" t="s">
        <v>1777</v>
      </c>
      <c r="F292" s="2" t="s">
        <v>1682</v>
      </c>
      <c r="G292" s="2" t="s">
        <v>1778</v>
      </c>
      <c r="H292" s="3" t="str">
        <f t="shared" si="1"/>
        <v>#NAME?</v>
      </c>
      <c r="I292" s="2" t="s">
        <v>1779</v>
      </c>
      <c r="J292" s="4" t="s">
        <v>1780</v>
      </c>
    </row>
    <row r="293">
      <c r="A293" s="1">
        <v>292.0</v>
      </c>
      <c r="B293" s="1" t="s">
        <v>1781</v>
      </c>
      <c r="C293" s="1" t="s">
        <v>1782</v>
      </c>
      <c r="E293" s="1" t="s">
        <v>1783</v>
      </c>
      <c r="F293" s="2" t="s">
        <v>1784</v>
      </c>
      <c r="G293" s="2" t="s">
        <v>1785</v>
      </c>
      <c r="H293" s="3" t="str">
        <f t="shared" si="1"/>
        <v>#NAME?</v>
      </c>
      <c r="I293" s="2" t="s">
        <v>1786</v>
      </c>
      <c r="J293" s="4" t="s">
        <v>1787</v>
      </c>
    </row>
    <row r="294">
      <c r="A294" s="1">
        <v>293.0</v>
      </c>
      <c r="B294" s="1" t="s">
        <v>1781</v>
      </c>
      <c r="C294" s="1" t="s">
        <v>1788</v>
      </c>
      <c r="E294" s="1" t="s">
        <v>1789</v>
      </c>
      <c r="F294" s="2" t="s">
        <v>1790</v>
      </c>
      <c r="G294" s="2" t="s">
        <v>1791</v>
      </c>
      <c r="H294" s="3" t="str">
        <f t="shared" si="1"/>
        <v>#NAME?</v>
      </c>
      <c r="I294" s="2" t="s">
        <v>1792</v>
      </c>
      <c r="J294" s="4" t="s">
        <v>1787</v>
      </c>
    </row>
    <row r="295">
      <c r="A295" s="1">
        <v>294.0</v>
      </c>
      <c r="B295" s="1" t="s">
        <v>1793</v>
      </c>
      <c r="C295" s="1" t="s">
        <v>1794</v>
      </c>
      <c r="E295" s="1" t="s">
        <v>1795</v>
      </c>
      <c r="F295" s="2" t="s">
        <v>1796</v>
      </c>
      <c r="G295" s="2" t="s">
        <v>1797</v>
      </c>
      <c r="H295" s="3" t="str">
        <f t="shared" si="1"/>
        <v>#NAME?</v>
      </c>
      <c r="I295" s="2" t="s">
        <v>1798</v>
      </c>
      <c r="J295" s="4" t="s">
        <v>1799</v>
      </c>
    </row>
    <row r="296">
      <c r="A296" s="1">
        <v>295.0</v>
      </c>
      <c r="B296" s="1" t="s">
        <v>1800</v>
      </c>
      <c r="C296" s="1" t="s">
        <v>1801</v>
      </c>
      <c r="E296" s="1" t="s">
        <v>1802</v>
      </c>
      <c r="F296" s="2" t="s">
        <v>1803</v>
      </c>
      <c r="G296" s="2" t="s">
        <v>1804</v>
      </c>
      <c r="H296" s="3" t="str">
        <f t="shared" si="1"/>
        <v>#NAME?</v>
      </c>
      <c r="I296" s="2" t="s">
        <v>1805</v>
      </c>
      <c r="J296" s="4" t="s">
        <v>1806</v>
      </c>
    </row>
    <row r="297">
      <c r="A297" s="1">
        <v>296.0</v>
      </c>
      <c r="B297" s="1" t="s">
        <v>1807</v>
      </c>
      <c r="C297" s="1" t="s">
        <v>1808</v>
      </c>
      <c r="E297" s="1" t="s">
        <v>1809</v>
      </c>
      <c r="F297" s="2" t="s">
        <v>1810</v>
      </c>
      <c r="G297" s="2" t="s">
        <v>1811</v>
      </c>
      <c r="H297" s="3" t="str">
        <f t="shared" si="1"/>
        <v>#NAME?</v>
      </c>
      <c r="I297" s="2" t="s">
        <v>1812</v>
      </c>
      <c r="J297" s="4" t="s">
        <v>1813</v>
      </c>
    </row>
    <row r="298">
      <c r="A298" s="1">
        <v>297.0</v>
      </c>
      <c r="B298" s="1" t="s">
        <v>1807</v>
      </c>
      <c r="C298" s="1" t="s">
        <v>1814</v>
      </c>
      <c r="E298" s="1" t="s">
        <v>1815</v>
      </c>
      <c r="F298" s="2" t="s">
        <v>1816</v>
      </c>
      <c r="G298" s="2" t="s">
        <v>1817</v>
      </c>
      <c r="H298" s="3" t="str">
        <f t="shared" si="1"/>
        <v>#NAME?</v>
      </c>
      <c r="I298" s="2" t="s">
        <v>1818</v>
      </c>
      <c r="J298" s="4" t="s">
        <v>1813</v>
      </c>
    </row>
    <row r="299">
      <c r="A299" s="1">
        <v>298.0</v>
      </c>
      <c r="B299" s="1" t="s">
        <v>1819</v>
      </c>
      <c r="C299" s="1" t="s">
        <v>1820</v>
      </c>
      <c r="E299" s="1" t="s">
        <v>1821</v>
      </c>
      <c r="F299" s="2" t="s">
        <v>517</v>
      </c>
      <c r="G299" s="2" t="s">
        <v>1822</v>
      </c>
      <c r="H299" s="3" t="str">
        <f t="shared" si="1"/>
        <v>#NAME?</v>
      </c>
      <c r="I299" s="2" t="s">
        <v>1823</v>
      </c>
      <c r="J299" s="4" t="s">
        <v>1824</v>
      </c>
    </row>
    <row r="300">
      <c r="A300" s="1">
        <v>299.0</v>
      </c>
      <c r="B300" s="1" t="s">
        <v>1825</v>
      </c>
      <c r="C300" s="1" t="s">
        <v>1826</v>
      </c>
      <c r="E300" s="1" t="s">
        <v>1827</v>
      </c>
      <c r="F300" s="2" t="s">
        <v>1828</v>
      </c>
      <c r="G300" s="2" t="s">
        <v>1829</v>
      </c>
      <c r="H300" s="3" t="str">
        <f t="shared" si="1"/>
        <v>#NAME?</v>
      </c>
      <c r="I300" s="2" t="s">
        <v>1830</v>
      </c>
      <c r="J300" s="4" t="s">
        <v>1831</v>
      </c>
    </row>
    <row r="301">
      <c r="A301" s="1">
        <v>300.0</v>
      </c>
      <c r="B301" s="1" t="s">
        <v>1825</v>
      </c>
      <c r="C301" s="1" t="s">
        <v>1832</v>
      </c>
      <c r="E301" s="1" t="s">
        <v>1833</v>
      </c>
      <c r="F301" s="2" t="s">
        <v>1834</v>
      </c>
      <c r="G301" s="2" t="s">
        <v>1835</v>
      </c>
      <c r="H301" s="3" t="str">
        <f t="shared" si="1"/>
        <v>#NAME?</v>
      </c>
      <c r="I301" s="2" t="s">
        <v>1836</v>
      </c>
      <c r="J301" s="4" t="s">
        <v>1831</v>
      </c>
    </row>
    <row r="302">
      <c r="A302" s="1">
        <v>301.0</v>
      </c>
      <c r="B302" s="1" t="s">
        <v>1837</v>
      </c>
      <c r="C302" s="1" t="s">
        <v>1838</v>
      </c>
      <c r="E302" s="1" t="s">
        <v>1839</v>
      </c>
      <c r="F302" s="2" t="s">
        <v>1840</v>
      </c>
      <c r="G302" s="2" t="s">
        <v>1841</v>
      </c>
      <c r="H302" s="3" t="str">
        <f t="shared" si="1"/>
        <v>#NAME?</v>
      </c>
      <c r="I302" s="2" t="s">
        <v>1842</v>
      </c>
      <c r="J302" s="4" t="s">
        <v>1843</v>
      </c>
    </row>
    <row r="303">
      <c r="A303" s="1">
        <v>302.0</v>
      </c>
      <c r="B303" s="1" t="s">
        <v>1837</v>
      </c>
      <c r="C303" s="1" t="s">
        <v>1844</v>
      </c>
      <c r="E303" s="1" t="s">
        <v>1845</v>
      </c>
      <c r="F303" s="2" t="s">
        <v>1846</v>
      </c>
      <c r="G303" s="2" t="s">
        <v>1847</v>
      </c>
      <c r="H303" s="3" t="str">
        <f t="shared" si="1"/>
        <v>#NAME?</v>
      </c>
      <c r="I303" s="2" t="s">
        <v>1848</v>
      </c>
      <c r="J303" s="4" t="s">
        <v>1843</v>
      </c>
    </row>
    <row r="304">
      <c r="A304" s="1">
        <v>303.0</v>
      </c>
      <c r="B304" s="1" t="s">
        <v>1837</v>
      </c>
      <c r="C304" s="1" t="s">
        <v>1849</v>
      </c>
      <c r="E304" s="1" t="s">
        <v>1850</v>
      </c>
      <c r="F304" s="2" t="s">
        <v>1303</v>
      </c>
      <c r="G304" s="2" t="s">
        <v>1851</v>
      </c>
      <c r="H304" s="3" t="str">
        <f t="shared" si="1"/>
        <v>#NAME?</v>
      </c>
      <c r="I304" s="2" t="s">
        <v>1852</v>
      </c>
      <c r="J304" s="4" t="s">
        <v>1843</v>
      </c>
    </row>
    <row r="305">
      <c r="A305" s="1">
        <v>304.0</v>
      </c>
      <c r="B305" s="1" t="s">
        <v>1853</v>
      </c>
      <c r="C305" s="1" t="s">
        <v>1854</v>
      </c>
      <c r="E305" s="1" t="s">
        <v>1855</v>
      </c>
      <c r="F305" s="2" t="s">
        <v>1856</v>
      </c>
      <c r="G305" s="2" t="s">
        <v>1857</v>
      </c>
      <c r="H305" s="3" t="str">
        <f t="shared" si="1"/>
        <v>#NAME?</v>
      </c>
      <c r="I305" s="2" t="s">
        <v>1858</v>
      </c>
      <c r="J305" s="4" t="s">
        <v>1859</v>
      </c>
    </row>
    <row r="306">
      <c r="A306" s="1">
        <v>305.0</v>
      </c>
      <c r="B306" s="1" t="s">
        <v>1860</v>
      </c>
      <c r="C306" s="1" t="s">
        <v>1861</v>
      </c>
      <c r="E306" s="1" t="s">
        <v>1862</v>
      </c>
      <c r="F306" s="2" t="s">
        <v>1863</v>
      </c>
      <c r="G306" s="2" t="s">
        <v>1864</v>
      </c>
      <c r="H306" s="3" t="str">
        <f t="shared" si="1"/>
        <v>#NAME?</v>
      </c>
      <c r="I306" s="2" t="s">
        <v>1865</v>
      </c>
      <c r="J306" s="4" t="s">
        <v>1866</v>
      </c>
    </row>
    <row r="307">
      <c r="A307" s="1">
        <v>306.0</v>
      </c>
      <c r="B307" s="1" t="s">
        <v>1867</v>
      </c>
      <c r="C307" s="1" t="s">
        <v>1868</v>
      </c>
      <c r="E307" s="1" t="s">
        <v>1869</v>
      </c>
      <c r="F307" s="2" t="s">
        <v>1870</v>
      </c>
      <c r="G307" s="2" t="s">
        <v>1871</v>
      </c>
      <c r="H307" s="3" t="str">
        <f t="shared" si="1"/>
        <v>#NAME?</v>
      </c>
      <c r="I307" s="2" t="s">
        <v>1872</v>
      </c>
      <c r="J307" s="4" t="s">
        <v>1873</v>
      </c>
    </row>
    <row r="308">
      <c r="A308" s="1">
        <v>307.0</v>
      </c>
      <c r="B308" s="1" t="s">
        <v>1867</v>
      </c>
      <c r="C308" s="1" t="s">
        <v>1874</v>
      </c>
      <c r="E308" s="1" t="s">
        <v>1875</v>
      </c>
      <c r="F308" s="2" t="s">
        <v>1876</v>
      </c>
      <c r="G308" s="2" t="s">
        <v>1877</v>
      </c>
      <c r="H308" s="3" t="str">
        <f t="shared" si="1"/>
        <v>#NAME?</v>
      </c>
      <c r="I308" s="2" t="s">
        <v>1878</v>
      </c>
      <c r="J308" s="4" t="s">
        <v>1873</v>
      </c>
    </row>
    <row r="309">
      <c r="A309" s="1">
        <v>308.0</v>
      </c>
      <c r="B309" s="1" t="s">
        <v>1879</v>
      </c>
      <c r="C309" s="1" t="s">
        <v>1880</v>
      </c>
      <c r="E309" s="1" t="s">
        <v>1881</v>
      </c>
      <c r="F309" s="2" t="s">
        <v>1882</v>
      </c>
      <c r="G309" s="2" t="s">
        <v>1883</v>
      </c>
      <c r="H309" s="3" t="str">
        <f t="shared" si="1"/>
        <v>#NAME?</v>
      </c>
      <c r="I309" s="2" t="s">
        <v>1884</v>
      </c>
      <c r="J309" s="4" t="s">
        <v>1885</v>
      </c>
    </row>
    <row r="310">
      <c r="A310" s="1">
        <v>309.0</v>
      </c>
      <c r="B310" s="1" t="s">
        <v>1886</v>
      </c>
      <c r="C310" s="1" t="s">
        <v>1887</v>
      </c>
      <c r="E310" s="1" t="s">
        <v>1888</v>
      </c>
      <c r="F310" s="2" t="s">
        <v>1889</v>
      </c>
      <c r="G310" s="2" t="s">
        <v>1890</v>
      </c>
      <c r="H310" s="3" t="str">
        <f t="shared" si="1"/>
        <v>#NAME?</v>
      </c>
      <c r="I310" s="2" t="s">
        <v>1891</v>
      </c>
      <c r="J310" s="4" t="s">
        <v>1892</v>
      </c>
    </row>
    <row r="311">
      <c r="A311" s="1">
        <v>310.0</v>
      </c>
      <c r="B311" s="1" t="s">
        <v>1886</v>
      </c>
      <c r="C311" s="1" t="s">
        <v>1893</v>
      </c>
      <c r="E311" s="1" t="s">
        <v>1894</v>
      </c>
      <c r="F311" s="2" t="s">
        <v>1895</v>
      </c>
      <c r="G311" s="2" t="s">
        <v>1896</v>
      </c>
      <c r="H311" s="3" t="str">
        <f t="shared" si="1"/>
        <v>#NAME?</v>
      </c>
      <c r="I311" s="2" t="s">
        <v>1897</v>
      </c>
      <c r="J311" s="4" t="s">
        <v>1892</v>
      </c>
    </row>
    <row r="312">
      <c r="A312" s="1">
        <v>311.0</v>
      </c>
      <c r="B312" s="1" t="s">
        <v>1886</v>
      </c>
      <c r="C312" s="1" t="s">
        <v>1898</v>
      </c>
      <c r="E312" s="1" t="s">
        <v>1899</v>
      </c>
      <c r="F312" s="2" t="s">
        <v>1900</v>
      </c>
      <c r="G312" s="2" t="s">
        <v>1901</v>
      </c>
      <c r="H312" s="3" t="str">
        <f t="shared" si="1"/>
        <v>#NAME?</v>
      </c>
      <c r="I312" s="2" t="s">
        <v>1902</v>
      </c>
      <c r="J312" s="4" t="s">
        <v>1892</v>
      </c>
    </row>
    <row r="313">
      <c r="A313" s="1">
        <v>312.0</v>
      </c>
      <c r="B313" s="1" t="s">
        <v>1903</v>
      </c>
      <c r="C313" s="1" t="s">
        <v>1904</v>
      </c>
      <c r="E313" s="1" t="s">
        <v>1905</v>
      </c>
      <c r="F313" s="2" t="s">
        <v>1906</v>
      </c>
      <c r="G313" s="2" t="s">
        <v>1907</v>
      </c>
      <c r="H313" s="3" t="str">
        <f t="shared" si="1"/>
        <v>#NAME?</v>
      </c>
      <c r="I313" s="2" t="s">
        <v>1908</v>
      </c>
      <c r="J313" s="4" t="s">
        <v>1909</v>
      </c>
    </row>
    <row r="314">
      <c r="A314" s="1">
        <v>313.0</v>
      </c>
      <c r="B314" s="1" t="s">
        <v>1903</v>
      </c>
      <c r="C314" s="1" t="s">
        <v>1910</v>
      </c>
      <c r="E314" s="1" t="s">
        <v>1911</v>
      </c>
      <c r="F314" s="2" t="s">
        <v>1912</v>
      </c>
      <c r="G314" s="2" t="s">
        <v>1913</v>
      </c>
      <c r="H314" s="3" t="str">
        <f t="shared" si="1"/>
        <v>#NAME?</v>
      </c>
      <c r="I314" s="2" t="s">
        <v>1914</v>
      </c>
      <c r="J314" s="4" t="s">
        <v>1909</v>
      </c>
    </row>
    <row r="315">
      <c r="A315" s="1">
        <v>314.0</v>
      </c>
      <c r="B315" s="1" t="s">
        <v>1903</v>
      </c>
      <c r="C315" s="1" t="s">
        <v>1915</v>
      </c>
      <c r="E315" s="1" t="s">
        <v>1916</v>
      </c>
      <c r="F315" s="2" t="s">
        <v>1917</v>
      </c>
      <c r="G315" s="2" t="s">
        <v>1918</v>
      </c>
      <c r="H315" s="3" t="str">
        <f t="shared" si="1"/>
        <v>#NAME?</v>
      </c>
      <c r="I315" s="2" t="s">
        <v>1919</v>
      </c>
      <c r="J315" s="4" t="s">
        <v>1909</v>
      </c>
    </row>
    <row r="316">
      <c r="A316" s="1">
        <v>315.0</v>
      </c>
      <c r="B316" s="1" t="s">
        <v>1920</v>
      </c>
      <c r="C316" s="1" t="s">
        <v>1921</v>
      </c>
      <c r="E316" s="1" t="s">
        <v>1922</v>
      </c>
      <c r="F316" s="2" t="s">
        <v>1923</v>
      </c>
      <c r="G316" s="2" t="s">
        <v>1924</v>
      </c>
      <c r="H316" s="3" t="str">
        <f t="shared" si="1"/>
        <v>#NAME?</v>
      </c>
      <c r="I316" s="2" t="s">
        <v>1925</v>
      </c>
      <c r="J316" s="4" t="s">
        <v>1926</v>
      </c>
    </row>
    <row r="317">
      <c r="A317" s="1">
        <v>316.0</v>
      </c>
      <c r="B317" s="1" t="s">
        <v>1927</v>
      </c>
      <c r="C317" s="1" t="s">
        <v>1928</v>
      </c>
      <c r="E317" s="1" t="s">
        <v>1929</v>
      </c>
      <c r="F317" s="2" t="s">
        <v>1930</v>
      </c>
      <c r="G317" s="2" t="s">
        <v>1931</v>
      </c>
      <c r="H317" s="3" t="str">
        <f t="shared" si="1"/>
        <v>#NAME?</v>
      </c>
      <c r="I317" s="2" t="s">
        <v>1932</v>
      </c>
      <c r="J317" s="4" t="s">
        <v>1933</v>
      </c>
    </row>
    <row r="318">
      <c r="A318" s="1">
        <v>317.0</v>
      </c>
      <c r="B318" s="1" t="s">
        <v>1927</v>
      </c>
      <c r="C318" s="1" t="s">
        <v>1934</v>
      </c>
      <c r="E318" s="1" t="s">
        <v>1935</v>
      </c>
      <c r="F318" s="2" t="s">
        <v>1936</v>
      </c>
      <c r="G318" s="2" t="s">
        <v>1937</v>
      </c>
      <c r="H318" s="3" t="str">
        <f t="shared" si="1"/>
        <v>#NAME?</v>
      </c>
      <c r="I318" s="2" t="s">
        <v>1938</v>
      </c>
      <c r="J318" s="4" t="s">
        <v>1933</v>
      </c>
    </row>
    <row r="319">
      <c r="A319" s="1">
        <v>318.0</v>
      </c>
      <c r="B319" s="1" t="s">
        <v>1939</v>
      </c>
      <c r="C319" s="1" t="s">
        <v>1940</v>
      </c>
      <c r="E319" s="1" t="s">
        <v>1941</v>
      </c>
      <c r="F319" s="2" t="s">
        <v>1942</v>
      </c>
      <c r="G319" s="2" t="s">
        <v>1943</v>
      </c>
      <c r="H319" s="3" t="str">
        <f t="shared" si="1"/>
        <v>#NAME?</v>
      </c>
      <c r="I319" s="2" t="s">
        <v>1944</v>
      </c>
      <c r="J319" s="4" t="s">
        <v>1945</v>
      </c>
    </row>
    <row r="320">
      <c r="A320" s="1">
        <v>319.0</v>
      </c>
      <c r="B320" s="1" t="s">
        <v>1946</v>
      </c>
      <c r="C320" s="1" t="s">
        <v>1947</v>
      </c>
      <c r="E320" s="1" t="s">
        <v>1948</v>
      </c>
      <c r="F320" s="2" t="s">
        <v>1949</v>
      </c>
      <c r="G320" s="2" t="s">
        <v>1950</v>
      </c>
      <c r="H320" s="3" t="str">
        <f t="shared" si="1"/>
        <v>#NAME?</v>
      </c>
      <c r="I320" s="2" t="s">
        <v>1951</v>
      </c>
      <c r="J320" s="4" t="s">
        <v>1952</v>
      </c>
    </row>
    <row r="321">
      <c r="A321" s="1">
        <v>320.0</v>
      </c>
      <c r="B321" s="1" t="s">
        <v>1946</v>
      </c>
      <c r="C321" s="1" t="s">
        <v>1194</v>
      </c>
      <c r="E321" s="1" t="s">
        <v>1195</v>
      </c>
      <c r="F321" s="2" t="s">
        <v>1953</v>
      </c>
      <c r="G321" s="2" t="s">
        <v>1954</v>
      </c>
      <c r="H321" s="3" t="str">
        <f t="shared" si="1"/>
        <v>#NAME?</v>
      </c>
      <c r="I321" s="2" t="s">
        <v>1955</v>
      </c>
      <c r="J321" s="4" t="s">
        <v>1952</v>
      </c>
    </row>
    <row r="322">
      <c r="A322" s="1">
        <v>321.0</v>
      </c>
      <c r="B322" s="1" t="s">
        <v>1956</v>
      </c>
      <c r="C322" s="1" t="s">
        <v>1957</v>
      </c>
      <c r="E322" s="1" t="s">
        <v>1958</v>
      </c>
      <c r="F322" s="2" t="s">
        <v>1959</v>
      </c>
      <c r="G322" s="2" t="s">
        <v>1960</v>
      </c>
      <c r="H322" s="3" t="str">
        <f t="shared" si="1"/>
        <v>#NAME?</v>
      </c>
      <c r="I322" s="2" t="s">
        <v>1961</v>
      </c>
      <c r="J322" s="4" t="s">
        <v>1962</v>
      </c>
    </row>
    <row r="323">
      <c r="A323" s="1">
        <v>322.0</v>
      </c>
      <c r="B323" s="1" t="s">
        <v>1956</v>
      </c>
      <c r="C323" s="1" t="s">
        <v>1963</v>
      </c>
      <c r="E323" s="1" t="s">
        <v>1964</v>
      </c>
      <c r="F323" s="2" t="s">
        <v>1965</v>
      </c>
      <c r="G323" s="2" t="s">
        <v>1966</v>
      </c>
      <c r="H323" s="3" t="str">
        <f t="shared" si="1"/>
        <v>#NAME?</v>
      </c>
      <c r="I323" s="2" t="s">
        <v>1967</v>
      </c>
      <c r="J323" s="4" t="s">
        <v>1962</v>
      </c>
    </row>
    <row r="324">
      <c r="A324" s="1">
        <v>323.0</v>
      </c>
      <c r="B324" s="1" t="s">
        <v>1968</v>
      </c>
      <c r="C324" s="1" t="s">
        <v>1969</v>
      </c>
      <c r="E324" s="1" t="s">
        <v>1970</v>
      </c>
      <c r="F324" s="2" t="s">
        <v>1971</v>
      </c>
      <c r="G324" s="2" t="s">
        <v>1972</v>
      </c>
      <c r="H324" s="3" t="str">
        <f t="shared" si="1"/>
        <v>#NAME?</v>
      </c>
      <c r="I324" s="2" t="s">
        <v>1973</v>
      </c>
      <c r="J324" s="4" t="s">
        <v>1974</v>
      </c>
    </row>
    <row r="325">
      <c r="A325" s="1">
        <v>324.0</v>
      </c>
      <c r="B325" s="1" t="s">
        <v>1968</v>
      </c>
      <c r="C325" s="1" t="s">
        <v>1975</v>
      </c>
      <c r="E325" s="1" t="s">
        <v>1976</v>
      </c>
      <c r="F325" s="2" t="s">
        <v>1977</v>
      </c>
      <c r="G325" s="2" t="s">
        <v>1978</v>
      </c>
      <c r="H325" s="3" t="str">
        <f t="shared" si="1"/>
        <v>#NAME?</v>
      </c>
      <c r="I325" s="2" t="s">
        <v>1979</v>
      </c>
      <c r="J325" s="4" t="s">
        <v>1974</v>
      </c>
    </row>
    <row r="326">
      <c r="A326" s="1">
        <v>325.0</v>
      </c>
      <c r="B326" s="1" t="s">
        <v>1968</v>
      </c>
      <c r="C326" s="1" t="s">
        <v>1980</v>
      </c>
      <c r="E326" s="1" t="s">
        <v>1981</v>
      </c>
      <c r="F326" s="2" t="s">
        <v>1982</v>
      </c>
      <c r="G326" s="2" t="s">
        <v>1983</v>
      </c>
      <c r="H326" s="3" t="str">
        <f t="shared" si="1"/>
        <v>#NAME?</v>
      </c>
      <c r="I326" s="2" t="s">
        <v>1984</v>
      </c>
      <c r="J326" s="4" t="s">
        <v>1974</v>
      </c>
    </row>
    <row r="327">
      <c r="A327" s="1">
        <v>326.0</v>
      </c>
      <c r="B327" s="1" t="s">
        <v>1968</v>
      </c>
      <c r="C327" s="1" t="s">
        <v>1985</v>
      </c>
      <c r="E327" s="1" t="s">
        <v>1986</v>
      </c>
      <c r="F327" s="2" t="s">
        <v>1987</v>
      </c>
      <c r="G327" s="2" t="s">
        <v>1988</v>
      </c>
      <c r="H327" s="3" t="str">
        <f t="shared" si="1"/>
        <v>#NAME?</v>
      </c>
      <c r="I327" s="2" t="s">
        <v>1989</v>
      </c>
      <c r="J327" s="4" t="s">
        <v>1974</v>
      </c>
    </row>
    <row r="328">
      <c r="A328" s="1">
        <v>327.0</v>
      </c>
      <c r="B328" s="1" t="s">
        <v>1968</v>
      </c>
      <c r="C328" s="1" t="s">
        <v>1990</v>
      </c>
      <c r="E328" s="1" t="s">
        <v>1991</v>
      </c>
      <c r="F328" s="2" t="s">
        <v>1992</v>
      </c>
      <c r="G328" s="2" t="s">
        <v>1993</v>
      </c>
      <c r="H328" s="3" t="str">
        <f t="shared" si="1"/>
        <v>#NAME?</v>
      </c>
      <c r="I328" s="2" t="s">
        <v>1994</v>
      </c>
      <c r="J328" s="4" t="s">
        <v>1974</v>
      </c>
    </row>
    <row r="329">
      <c r="A329" s="1">
        <v>328.0</v>
      </c>
      <c r="B329" s="1" t="s">
        <v>1995</v>
      </c>
      <c r="C329" s="1" t="s">
        <v>1996</v>
      </c>
      <c r="E329" s="1" t="s">
        <v>1997</v>
      </c>
      <c r="F329" s="2" t="s">
        <v>1998</v>
      </c>
      <c r="G329" s="2" t="s">
        <v>1999</v>
      </c>
      <c r="H329" s="3" t="str">
        <f t="shared" si="1"/>
        <v>#NAME?</v>
      </c>
      <c r="I329" s="2" t="s">
        <v>2000</v>
      </c>
      <c r="J329" s="4" t="s">
        <v>2001</v>
      </c>
    </row>
    <row r="330">
      <c r="A330" s="1">
        <v>329.0</v>
      </c>
      <c r="B330" s="1" t="s">
        <v>1995</v>
      </c>
      <c r="C330" s="1" t="s">
        <v>2002</v>
      </c>
      <c r="E330" s="1" t="s">
        <v>2003</v>
      </c>
      <c r="F330" s="2" t="s">
        <v>2004</v>
      </c>
      <c r="G330" s="2" t="s">
        <v>2005</v>
      </c>
      <c r="H330" s="3" t="str">
        <f t="shared" si="1"/>
        <v>#NAME?</v>
      </c>
      <c r="I330" s="2" t="s">
        <v>2006</v>
      </c>
      <c r="J330" s="4" t="s">
        <v>2001</v>
      </c>
    </row>
    <row r="331">
      <c r="A331" s="1">
        <v>330.0</v>
      </c>
      <c r="B331" s="1" t="s">
        <v>2007</v>
      </c>
      <c r="C331" s="1" t="s">
        <v>1050</v>
      </c>
      <c r="E331" s="1" t="s">
        <v>1051</v>
      </c>
      <c r="F331" s="2" t="s">
        <v>2008</v>
      </c>
      <c r="G331" s="2" t="s">
        <v>2009</v>
      </c>
      <c r="H331" s="3" t="str">
        <f t="shared" si="1"/>
        <v>#NAME?</v>
      </c>
      <c r="I331" s="2" t="s">
        <v>2010</v>
      </c>
      <c r="J331" s="4" t="s">
        <v>2011</v>
      </c>
    </row>
    <row r="332">
      <c r="A332" s="1">
        <v>331.0</v>
      </c>
      <c r="B332" s="1" t="s">
        <v>2012</v>
      </c>
      <c r="C332" s="1" t="s">
        <v>2013</v>
      </c>
      <c r="E332" s="1" t="s">
        <v>2014</v>
      </c>
      <c r="F332" s="2" t="s">
        <v>2015</v>
      </c>
      <c r="G332" s="2" t="s">
        <v>2016</v>
      </c>
      <c r="H332" s="3" t="str">
        <f t="shared" si="1"/>
        <v>#NAME?</v>
      </c>
      <c r="I332" s="2" t="s">
        <v>2017</v>
      </c>
      <c r="J332" s="4" t="s">
        <v>2018</v>
      </c>
    </row>
    <row r="333">
      <c r="A333" s="1">
        <v>332.0</v>
      </c>
      <c r="B333" s="1" t="s">
        <v>2012</v>
      </c>
      <c r="C333" s="1" t="s">
        <v>2019</v>
      </c>
      <c r="E333" s="1" t="s">
        <v>2020</v>
      </c>
      <c r="F333" s="2" t="s">
        <v>2021</v>
      </c>
      <c r="G333" s="2" t="s">
        <v>2022</v>
      </c>
      <c r="H333" s="3" t="str">
        <f t="shared" si="1"/>
        <v>#NAME?</v>
      </c>
      <c r="I333" s="2" t="s">
        <v>2023</v>
      </c>
      <c r="J333" s="4" t="s">
        <v>2018</v>
      </c>
    </row>
    <row r="334">
      <c r="A334" s="1">
        <v>333.0</v>
      </c>
      <c r="B334" s="1" t="s">
        <v>2012</v>
      </c>
      <c r="C334" s="1" t="s">
        <v>2024</v>
      </c>
      <c r="E334" s="1" t="s">
        <v>2025</v>
      </c>
      <c r="F334" s="2" t="s">
        <v>1719</v>
      </c>
      <c r="G334" s="2" t="s">
        <v>2026</v>
      </c>
      <c r="H334" s="3" t="str">
        <f t="shared" si="1"/>
        <v>#NAME?</v>
      </c>
      <c r="I334" s="2" t="s">
        <v>2027</v>
      </c>
      <c r="J334" s="4" t="s">
        <v>2018</v>
      </c>
    </row>
    <row r="335">
      <c r="A335" s="1">
        <v>334.0</v>
      </c>
      <c r="B335" s="1" t="s">
        <v>2028</v>
      </c>
      <c r="C335" s="1" t="s">
        <v>2029</v>
      </c>
      <c r="E335" s="1" t="s">
        <v>2030</v>
      </c>
      <c r="F335" s="2" t="s">
        <v>2031</v>
      </c>
      <c r="G335" s="2" t="s">
        <v>2032</v>
      </c>
      <c r="H335" s="3" t="str">
        <f t="shared" si="1"/>
        <v>#NAME?</v>
      </c>
      <c r="I335" s="2" t="s">
        <v>2033</v>
      </c>
      <c r="J335" s="4" t="s">
        <v>2034</v>
      </c>
    </row>
    <row r="336">
      <c r="A336" s="1">
        <v>335.0</v>
      </c>
      <c r="B336" s="1" t="s">
        <v>2028</v>
      </c>
      <c r="C336" s="1" t="s">
        <v>2035</v>
      </c>
      <c r="E336" s="1" t="s">
        <v>2036</v>
      </c>
      <c r="F336" s="2" t="s">
        <v>2037</v>
      </c>
      <c r="G336" s="2" t="s">
        <v>2038</v>
      </c>
      <c r="H336" s="3" t="str">
        <f t="shared" si="1"/>
        <v>#NAME?</v>
      </c>
      <c r="I336" s="2" t="s">
        <v>2039</v>
      </c>
      <c r="J336" s="4" t="s">
        <v>2034</v>
      </c>
    </row>
    <row r="337">
      <c r="A337" s="1">
        <v>336.0</v>
      </c>
      <c r="B337" s="1" t="s">
        <v>2028</v>
      </c>
      <c r="C337" s="1" t="s">
        <v>2040</v>
      </c>
      <c r="E337" s="1" t="s">
        <v>2041</v>
      </c>
      <c r="F337" s="2" t="s">
        <v>2042</v>
      </c>
      <c r="G337" s="2" t="s">
        <v>2043</v>
      </c>
      <c r="H337" s="3" t="str">
        <f t="shared" si="1"/>
        <v>#NAME?</v>
      </c>
      <c r="I337" s="2" t="s">
        <v>2044</v>
      </c>
      <c r="J337" s="4" t="s">
        <v>2034</v>
      </c>
    </row>
    <row r="338">
      <c r="A338" s="1">
        <v>337.0</v>
      </c>
      <c r="B338" s="1" t="s">
        <v>2045</v>
      </c>
      <c r="C338" s="1" t="s">
        <v>2046</v>
      </c>
      <c r="E338" s="1" t="s">
        <v>2047</v>
      </c>
      <c r="F338" s="2" t="s">
        <v>2048</v>
      </c>
      <c r="G338" s="2" t="s">
        <v>2049</v>
      </c>
      <c r="H338" s="3" t="str">
        <f t="shared" si="1"/>
        <v>#NAME?</v>
      </c>
      <c r="I338" s="2" t="s">
        <v>2050</v>
      </c>
      <c r="J338" s="4" t="s">
        <v>2051</v>
      </c>
    </row>
    <row r="339">
      <c r="A339" s="1">
        <v>338.0</v>
      </c>
      <c r="B339" s="1" t="s">
        <v>2045</v>
      </c>
      <c r="C339" s="1" t="s">
        <v>2052</v>
      </c>
      <c r="E339" s="1" t="s">
        <v>2053</v>
      </c>
      <c r="F339" s="2" t="s">
        <v>2054</v>
      </c>
      <c r="G339" s="2" t="s">
        <v>2055</v>
      </c>
      <c r="H339" s="3" t="str">
        <f t="shared" si="1"/>
        <v>#NAME?</v>
      </c>
      <c r="I339" s="2" t="s">
        <v>2056</v>
      </c>
      <c r="J339" s="4" t="s">
        <v>2051</v>
      </c>
    </row>
    <row r="340">
      <c r="A340" s="1">
        <v>339.0</v>
      </c>
      <c r="B340" s="1" t="s">
        <v>2057</v>
      </c>
      <c r="C340" s="1" t="s">
        <v>2058</v>
      </c>
      <c r="E340" s="1" t="s">
        <v>2059</v>
      </c>
      <c r="F340" s="2" t="s">
        <v>2060</v>
      </c>
      <c r="G340" s="2" t="s">
        <v>2061</v>
      </c>
      <c r="H340" s="3" t="str">
        <f t="shared" si="1"/>
        <v>#NAME?</v>
      </c>
      <c r="I340" s="2" t="s">
        <v>2062</v>
      </c>
      <c r="J340" s="4" t="s">
        <v>2063</v>
      </c>
    </row>
    <row r="341">
      <c r="A341" s="1">
        <v>340.0</v>
      </c>
      <c r="B341" s="1" t="s">
        <v>2064</v>
      </c>
      <c r="C341" s="1" t="s">
        <v>2065</v>
      </c>
      <c r="E341" s="1" t="s">
        <v>2066</v>
      </c>
      <c r="F341" s="2" t="s">
        <v>2067</v>
      </c>
      <c r="G341" s="2" t="s">
        <v>2068</v>
      </c>
      <c r="H341" s="3" t="str">
        <f t="shared" si="1"/>
        <v>#NAME?</v>
      </c>
      <c r="I341" s="2" t="s">
        <v>2069</v>
      </c>
      <c r="J341" s="4" t="s">
        <v>2070</v>
      </c>
    </row>
    <row r="342">
      <c r="A342" s="1">
        <v>341.0</v>
      </c>
      <c r="B342" s="1" t="s">
        <v>2071</v>
      </c>
      <c r="C342" s="1" t="s">
        <v>2072</v>
      </c>
      <c r="E342" s="1" t="s">
        <v>2073</v>
      </c>
      <c r="F342" s="2" t="s">
        <v>2074</v>
      </c>
      <c r="G342" s="2" t="s">
        <v>2075</v>
      </c>
      <c r="H342" s="3" t="str">
        <f t="shared" si="1"/>
        <v>#NAME?</v>
      </c>
      <c r="I342" s="2" t="s">
        <v>2076</v>
      </c>
      <c r="J342" s="4" t="s">
        <v>2077</v>
      </c>
    </row>
    <row r="343">
      <c r="A343" s="1">
        <v>342.0</v>
      </c>
      <c r="B343" s="1" t="s">
        <v>2071</v>
      </c>
      <c r="C343" s="1" t="s">
        <v>2072</v>
      </c>
      <c r="E343" s="1" t="s">
        <v>2073</v>
      </c>
      <c r="F343" s="2" t="s">
        <v>2078</v>
      </c>
      <c r="G343" s="2" t="s">
        <v>2079</v>
      </c>
      <c r="H343" s="3" t="str">
        <f t="shared" si="1"/>
        <v>#NAME?</v>
      </c>
      <c r="I343" s="2" t="s">
        <v>2080</v>
      </c>
      <c r="J343" s="4" t="s">
        <v>2077</v>
      </c>
    </row>
    <row r="344">
      <c r="A344" s="1">
        <v>343.0</v>
      </c>
      <c r="B344" s="1" t="s">
        <v>2071</v>
      </c>
      <c r="C344" s="1" t="s">
        <v>2081</v>
      </c>
      <c r="E344" s="1" t="s">
        <v>2082</v>
      </c>
      <c r="F344" s="2" t="s">
        <v>2083</v>
      </c>
      <c r="G344" s="2" t="s">
        <v>2084</v>
      </c>
      <c r="H344" s="3" t="str">
        <f t="shared" si="1"/>
        <v>#NAME?</v>
      </c>
      <c r="I344" s="2" t="s">
        <v>2085</v>
      </c>
      <c r="J344" s="4" t="s">
        <v>2077</v>
      </c>
    </row>
    <row r="345">
      <c r="A345" s="1">
        <v>344.0</v>
      </c>
      <c r="B345" s="1" t="s">
        <v>2086</v>
      </c>
      <c r="C345" s="1" t="s">
        <v>2087</v>
      </c>
      <c r="E345" s="1" t="s">
        <v>2088</v>
      </c>
      <c r="F345" s="2" t="s">
        <v>2089</v>
      </c>
      <c r="G345" s="2" t="s">
        <v>2090</v>
      </c>
      <c r="H345" s="3" t="str">
        <f t="shared" si="1"/>
        <v>#NAME?</v>
      </c>
      <c r="I345" s="2" t="s">
        <v>2091</v>
      </c>
      <c r="J345" s="4" t="s">
        <v>2092</v>
      </c>
    </row>
    <row r="346">
      <c r="A346" s="1">
        <v>345.0</v>
      </c>
      <c r="B346" s="1" t="s">
        <v>2086</v>
      </c>
      <c r="C346" s="1" t="s">
        <v>2093</v>
      </c>
      <c r="E346" s="1" t="s">
        <v>2094</v>
      </c>
      <c r="F346" s="2" t="s">
        <v>2095</v>
      </c>
      <c r="G346" s="2" t="s">
        <v>2096</v>
      </c>
      <c r="H346" s="3" t="str">
        <f t="shared" si="1"/>
        <v>#NAME?</v>
      </c>
      <c r="I346" s="2" t="s">
        <v>2097</v>
      </c>
      <c r="J346" s="4" t="s">
        <v>2092</v>
      </c>
    </row>
    <row r="347">
      <c r="A347" s="1">
        <v>346.0</v>
      </c>
      <c r="B347" s="1" t="s">
        <v>2098</v>
      </c>
      <c r="C347" s="1" t="s">
        <v>2099</v>
      </c>
      <c r="E347" s="1" t="s">
        <v>2100</v>
      </c>
      <c r="F347" s="2" t="s">
        <v>2101</v>
      </c>
      <c r="G347" s="2" t="s">
        <v>2102</v>
      </c>
      <c r="H347" s="3" t="str">
        <f t="shared" si="1"/>
        <v>#NAME?</v>
      </c>
      <c r="I347" s="2" t="s">
        <v>2103</v>
      </c>
      <c r="J347" s="4" t="s">
        <v>2104</v>
      </c>
    </row>
    <row r="348">
      <c r="A348" s="1">
        <v>347.0</v>
      </c>
      <c r="B348" s="1" t="s">
        <v>2098</v>
      </c>
      <c r="C348" s="1" t="s">
        <v>2105</v>
      </c>
      <c r="E348" s="1" t="s">
        <v>2106</v>
      </c>
      <c r="F348" s="2" t="s">
        <v>2107</v>
      </c>
      <c r="G348" s="2" t="s">
        <v>2108</v>
      </c>
      <c r="H348" s="3" t="str">
        <f t="shared" si="1"/>
        <v>#NAME?</v>
      </c>
      <c r="I348" s="2" t="s">
        <v>2109</v>
      </c>
      <c r="J348" s="4" t="s">
        <v>2104</v>
      </c>
    </row>
    <row r="349">
      <c r="A349" s="1">
        <v>348.0</v>
      </c>
      <c r="B349" s="1" t="s">
        <v>2110</v>
      </c>
      <c r="C349" s="1" t="s">
        <v>2111</v>
      </c>
      <c r="E349" s="1" t="s">
        <v>2112</v>
      </c>
      <c r="F349" s="2" t="s">
        <v>2113</v>
      </c>
      <c r="G349" s="2" t="s">
        <v>2114</v>
      </c>
      <c r="H349" s="3" t="str">
        <f t="shared" si="1"/>
        <v>#NAME?</v>
      </c>
      <c r="I349" s="2" t="s">
        <v>2115</v>
      </c>
      <c r="J349" s="4" t="s">
        <v>2116</v>
      </c>
    </row>
    <row r="350">
      <c r="A350" s="1">
        <v>349.0</v>
      </c>
      <c r="B350" s="1" t="s">
        <v>2110</v>
      </c>
      <c r="C350" s="1" t="s">
        <v>2117</v>
      </c>
      <c r="E350" s="1" t="s">
        <v>2118</v>
      </c>
      <c r="F350" s="2" t="s">
        <v>2119</v>
      </c>
      <c r="G350" s="2" t="s">
        <v>2120</v>
      </c>
      <c r="H350" s="3" t="str">
        <f t="shared" si="1"/>
        <v>#NAME?</v>
      </c>
      <c r="I350" s="2" t="s">
        <v>2121</v>
      </c>
      <c r="J350" s="4" t="s">
        <v>2116</v>
      </c>
    </row>
    <row r="351">
      <c r="A351" s="1">
        <v>350.0</v>
      </c>
      <c r="B351" s="1" t="s">
        <v>2122</v>
      </c>
      <c r="C351" s="1" t="s">
        <v>2123</v>
      </c>
      <c r="E351" s="1" t="s">
        <v>2124</v>
      </c>
      <c r="F351" s="2" t="s">
        <v>2125</v>
      </c>
      <c r="G351" s="2" t="s">
        <v>2126</v>
      </c>
      <c r="H351" s="3" t="str">
        <f t="shared" si="1"/>
        <v>#NAME?</v>
      </c>
      <c r="I351" s="2" t="s">
        <v>2127</v>
      </c>
      <c r="J351" s="4" t="s">
        <v>2128</v>
      </c>
    </row>
    <row r="352">
      <c r="A352" s="1">
        <v>351.0</v>
      </c>
      <c r="B352" s="1" t="s">
        <v>2129</v>
      </c>
      <c r="C352" s="1" t="s">
        <v>2130</v>
      </c>
      <c r="E352" s="1" t="s">
        <v>2131</v>
      </c>
      <c r="F352" s="2" t="s">
        <v>2132</v>
      </c>
      <c r="G352" s="2" t="s">
        <v>2133</v>
      </c>
      <c r="H352" s="3" t="str">
        <f t="shared" si="1"/>
        <v>#NAME?</v>
      </c>
      <c r="I352" s="2" t="s">
        <v>2134</v>
      </c>
      <c r="J352" s="4" t="s">
        <v>2135</v>
      </c>
    </row>
    <row r="353">
      <c r="A353" s="1">
        <v>352.0</v>
      </c>
      <c r="B353" s="1" t="s">
        <v>2136</v>
      </c>
      <c r="C353" s="1" t="s">
        <v>2137</v>
      </c>
      <c r="E353" s="1" t="s">
        <v>2138</v>
      </c>
      <c r="F353" s="2" t="s">
        <v>2139</v>
      </c>
      <c r="G353" s="2" t="s">
        <v>2140</v>
      </c>
      <c r="H353" s="3" t="str">
        <f t="shared" si="1"/>
        <v>#NAME?</v>
      </c>
      <c r="I353" s="2" t="s">
        <v>2141</v>
      </c>
      <c r="J353" s="4" t="s">
        <v>2142</v>
      </c>
    </row>
    <row r="354">
      <c r="A354" s="1">
        <v>353.0</v>
      </c>
      <c r="B354" s="1" t="s">
        <v>2143</v>
      </c>
      <c r="C354" s="1" t="s">
        <v>2144</v>
      </c>
      <c r="E354" s="1" t="s">
        <v>2145</v>
      </c>
      <c r="F354" s="2" t="s">
        <v>2146</v>
      </c>
      <c r="G354" s="2" t="s">
        <v>2147</v>
      </c>
      <c r="H354" s="3" t="str">
        <f t="shared" si="1"/>
        <v>#NAME?</v>
      </c>
      <c r="I354" s="2" t="s">
        <v>2148</v>
      </c>
      <c r="J354" s="4" t="s">
        <v>2149</v>
      </c>
    </row>
    <row r="355">
      <c r="A355" s="1">
        <v>354.0</v>
      </c>
      <c r="B355" s="1" t="s">
        <v>2143</v>
      </c>
      <c r="C355" s="1" t="s">
        <v>2150</v>
      </c>
      <c r="E355" s="1" t="s">
        <v>2151</v>
      </c>
      <c r="F355" s="2" t="s">
        <v>575</v>
      </c>
      <c r="G355" s="2" t="s">
        <v>2152</v>
      </c>
      <c r="H355" s="3" t="str">
        <f t="shared" si="1"/>
        <v>#NAME?</v>
      </c>
      <c r="I355" s="2" t="s">
        <v>2153</v>
      </c>
      <c r="J355" s="4" t="s">
        <v>2149</v>
      </c>
    </row>
    <row r="356">
      <c r="A356" s="1">
        <v>355.0</v>
      </c>
      <c r="B356" s="1" t="s">
        <v>2154</v>
      </c>
      <c r="C356" s="1" t="s">
        <v>2155</v>
      </c>
      <c r="E356" s="1" t="s">
        <v>2156</v>
      </c>
      <c r="F356" s="2" t="s">
        <v>2157</v>
      </c>
      <c r="G356" s="2" t="s">
        <v>2158</v>
      </c>
      <c r="H356" s="3" t="str">
        <f t="shared" si="1"/>
        <v>#NAME?</v>
      </c>
      <c r="I356" s="2" t="s">
        <v>2159</v>
      </c>
      <c r="J356" s="4" t="s">
        <v>2160</v>
      </c>
    </row>
    <row r="357">
      <c r="A357" s="1">
        <v>356.0</v>
      </c>
      <c r="B357" s="1" t="s">
        <v>2161</v>
      </c>
      <c r="C357" s="1" t="s">
        <v>2162</v>
      </c>
      <c r="E357" s="1" t="s">
        <v>2163</v>
      </c>
      <c r="F357" s="2" t="s">
        <v>2164</v>
      </c>
      <c r="G357" s="2" t="s">
        <v>2165</v>
      </c>
      <c r="H357" s="3" t="str">
        <f t="shared" si="1"/>
        <v>#NAME?</v>
      </c>
      <c r="I357" s="2" t="s">
        <v>2166</v>
      </c>
      <c r="J357" s="4" t="s">
        <v>2167</v>
      </c>
    </row>
    <row r="358">
      <c r="A358" s="1">
        <v>357.0</v>
      </c>
      <c r="B358" s="1" t="s">
        <v>2168</v>
      </c>
      <c r="C358" s="1" t="s">
        <v>2169</v>
      </c>
      <c r="E358" s="1" t="s">
        <v>2170</v>
      </c>
      <c r="F358" s="2" t="s">
        <v>2171</v>
      </c>
      <c r="G358" s="2" t="s">
        <v>2172</v>
      </c>
      <c r="H358" s="3" t="str">
        <f t="shared" si="1"/>
        <v>#NAME?</v>
      </c>
      <c r="I358" s="2" t="s">
        <v>2173</v>
      </c>
      <c r="J358" s="4" t="s">
        <v>2174</v>
      </c>
    </row>
    <row r="359">
      <c r="A359" s="1">
        <v>358.0</v>
      </c>
      <c r="B359" s="1" t="s">
        <v>2175</v>
      </c>
      <c r="C359" s="1" t="s">
        <v>2176</v>
      </c>
      <c r="E359" s="1" t="s">
        <v>2177</v>
      </c>
      <c r="F359" s="2" t="s">
        <v>2178</v>
      </c>
      <c r="G359" s="2" t="s">
        <v>2179</v>
      </c>
      <c r="H359" s="3" t="str">
        <f t="shared" si="1"/>
        <v>#NAME?</v>
      </c>
      <c r="I359" s="2" t="s">
        <v>2180</v>
      </c>
      <c r="J359" s="4" t="s">
        <v>2181</v>
      </c>
    </row>
    <row r="360">
      <c r="A360" s="1">
        <v>359.0</v>
      </c>
      <c r="B360" s="1" t="s">
        <v>2182</v>
      </c>
      <c r="C360" s="1" t="s">
        <v>2183</v>
      </c>
      <c r="E360" s="1" t="s">
        <v>2184</v>
      </c>
      <c r="F360" s="2" t="s">
        <v>2185</v>
      </c>
      <c r="G360" s="2" t="s">
        <v>2186</v>
      </c>
      <c r="H360" s="3" t="str">
        <f t="shared" si="1"/>
        <v>#NAME?</v>
      </c>
      <c r="I360" s="2" t="s">
        <v>2187</v>
      </c>
      <c r="J360" s="4" t="s">
        <v>2188</v>
      </c>
    </row>
    <row r="361">
      <c r="A361" s="1">
        <v>360.0</v>
      </c>
      <c r="B361" s="1" t="s">
        <v>2189</v>
      </c>
      <c r="C361" s="1" t="s">
        <v>2190</v>
      </c>
      <c r="E361" s="1" t="s">
        <v>2191</v>
      </c>
      <c r="F361" s="2" t="s">
        <v>2192</v>
      </c>
      <c r="G361" s="2" t="s">
        <v>2193</v>
      </c>
      <c r="H361" s="3" t="str">
        <f t="shared" si="1"/>
        <v>#NAME?</v>
      </c>
      <c r="I361" s="2" t="s">
        <v>2194</v>
      </c>
      <c r="J361" s="4" t="s">
        <v>2195</v>
      </c>
    </row>
    <row r="362">
      <c r="A362" s="1">
        <v>361.0</v>
      </c>
      <c r="B362" s="1" t="s">
        <v>2196</v>
      </c>
      <c r="C362" s="1" t="s">
        <v>2197</v>
      </c>
      <c r="E362" s="1" t="s">
        <v>2198</v>
      </c>
      <c r="F362" s="2" t="s">
        <v>2199</v>
      </c>
      <c r="G362" s="2" t="s">
        <v>2200</v>
      </c>
      <c r="H362" s="3" t="str">
        <f t="shared" si="1"/>
        <v>#NAME?</v>
      </c>
      <c r="I362" s="2" t="s">
        <v>2201</v>
      </c>
      <c r="J362" s="4" t="s">
        <v>2202</v>
      </c>
    </row>
    <row r="363">
      <c r="A363" s="1">
        <v>362.0</v>
      </c>
      <c r="B363" s="1" t="s">
        <v>2203</v>
      </c>
      <c r="C363" s="1" t="s">
        <v>2204</v>
      </c>
      <c r="E363" s="1" t="s">
        <v>2205</v>
      </c>
      <c r="F363" s="2" t="s">
        <v>2206</v>
      </c>
      <c r="G363" s="2" t="s">
        <v>2207</v>
      </c>
      <c r="H363" s="3" t="str">
        <f t="shared" si="1"/>
        <v>#NAME?</v>
      </c>
      <c r="I363" s="2" t="s">
        <v>2208</v>
      </c>
      <c r="J363" s="4" t="s">
        <v>2209</v>
      </c>
    </row>
    <row r="364">
      <c r="A364" s="1">
        <v>363.0</v>
      </c>
      <c r="B364" s="1" t="s">
        <v>2210</v>
      </c>
      <c r="C364" s="1" t="s">
        <v>2211</v>
      </c>
      <c r="E364" s="1" t="s">
        <v>2212</v>
      </c>
      <c r="F364" s="2" t="s">
        <v>2213</v>
      </c>
      <c r="G364" s="2" t="s">
        <v>2214</v>
      </c>
      <c r="H364" s="3" t="str">
        <f t="shared" si="1"/>
        <v>#NAME?</v>
      </c>
      <c r="I364" s="2" t="s">
        <v>2215</v>
      </c>
      <c r="J364" s="4" t="s">
        <v>2216</v>
      </c>
    </row>
    <row r="365">
      <c r="A365" s="1">
        <v>364.0</v>
      </c>
      <c r="B365" s="1" t="s">
        <v>2210</v>
      </c>
      <c r="C365" s="1" t="s">
        <v>2211</v>
      </c>
      <c r="E365" s="1" t="s">
        <v>2212</v>
      </c>
      <c r="F365" s="2" t="s">
        <v>2217</v>
      </c>
      <c r="G365" s="2" t="s">
        <v>2218</v>
      </c>
      <c r="H365" s="3" t="str">
        <f t="shared" si="1"/>
        <v>#NAME?</v>
      </c>
      <c r="I365" s="2" t="s">
        <v>2219</v>
      </c>
      <c r="J365" s="4" t="s">
        <v>2216</v>
      </c>
    </row>
    <row r="366">
      <c r="A366" s="1">
        <v>365.0</v>
      </c>
      <c r="B366" s="1" t="s">
        <v>2220</v>
      </c>
      <c r="C366" s="1" t="s">
        <v>2221</v>
      </c>
      <c r="E366" s="1" t="s">
        <v>2222</v>
      </c>
      <c r="F366" s="2" t="s">
        <v>2223</v>
      </c>
      <c r="G366" s="2" t="s">
        <v>2224</v>
      </c>
      <c r="H366" s="3" t="str">
        <f t="shared" si="1"/>
        <v>#NAME?</v>
      </c>
      <c r="I366" s="2" t="s">
        <v>2225</v>
      </c>
      <c r="J366" s="4" t="s">
        <v>2226</v>
      </c>
    </row>
    <row r="367">
      <c r="A367" s="1">
        <v>366.0</v>
      </c>
      <c r="B367" s="1" t="s">
        <v>2227</v>
      </c>
      <c r="C367" s="1" t="s">
        <v>2228</v>
      </c>
      <c r="E367" s="1" t="s">
        <v>2229</v>
      </c>
      <c r="F367" s="2" t="s">
        <v>1949</v>
      </c>
      <c r="G367" s="2" t="s">
        <v>2230</v>
      </c>
      <c r="H367" s="3" t="str">
        <f t="shared" si="1"/>
        <v>#NAME?</v>
      </c>
      <c r="I367" s="2" t="s">
        <v>2231</v>
      </c>
      <c r="J367" s="4" t="s">
        <v>2232</v>
      </c>
    </row>
    <row r="368">
      <c r="A368" s="1">
        <v>367.0</v>
      </c>
      <c r="B368" s="1" t="s">
        <v>2227</v>
      </c>
      <c r="C368" s="1" t="s">
        <v>1947</v>
      </c>
      <c r="E368" s="1" t="s">
        <v>1948</v>
      </c>
      <c r="F368" s="2" t="s">
        <v>2233</v>
      </c>
      <c r="G368" s="2" t="s">
        <v>2234</v>
      </c>
      <c r="H368" s="3" t="str">
        <f t="shared" si="1"/>
        <v>#NAME?</v>
      </c>
      <c r="I368" s="2" t="s">
        <v>2235</v>
      </c>
      <c r="J368" s="4" t="s">
        <v>2232</v>
      </c>
    </row>
    <row r="369">
      <c r="A369" s="1">
        <v>368.0</v>
      </c>
      <c r="B369" s="1" t="s">
        <v>2227</v>
      </c>
      <c r="C369" s="1" t="s">
        <v>1947</v>
      </c>
      <c r="E369" s="1" t="s">
        <v>1948</v>
      </c>
      <c r="F369" s="2" t="s">
        <v>2236</v>
      </c>
      <c r="G369" s="2" t="s">
        <v>2237</v>
      </c>
      <c r="H369" s="3" t="str">
        <f t="shared" si="1"/>
        <v>#NAME?</v>
      </c>
      <c r="I369" s="2" t="s">
        <v>2238</v>
      </c>
      <c r="J369" s="4" t="s">
        <v>2232</v>
      </c>
    </row>
    <row r="370">
      <c r="A370" s="1">
        <v>369.0</v>
      </c>
      <c r="B370" s="1" t="s">
        <v>2239</v>
      </c>
      <c r="C370" s="1" t="s">
        <v>2240</v>
      </c>
      <c r="E370" s="1" t="s">
        <v>2241</v>
      </c>
      <c r="F370" s="2" t="s">
        <v>2242</v>
      </c>
      <c r="G370" s="2" t="s">
        <v>2243</v>
      </c>
      <c r="H370" s="3" t="str">
        <f t="shared" si="1"/>
        <v>#NAME?</v>
      </c>
      <c r="I370" s="2" t="s">
        <v>2244</v>
      </c>
      <c r="J370" s="4" t="s">
        <v>2245</v>
      </c>
    </row>
    <row r="371">
      <c r="A371" s="1">
        <v>370.0</v>
      </c>
      <c r="B371" s="1" t="s">
        <v>2246</v>
      </c>
      <c r="C371" s="1" t="s">
        <v>2247</v>
      </c>
      <c r="E371" s="1" t="s">
        <v>2248</v>
      </c>
      <c r="F371" s="2" t="s">
        <v>2249</v>
      </c>
      <c r="G371" s="2" t="s">
        <v>2250</v>
      </c>
      <c r="H371" s="3" t="str">
        <f t="shared" si="1"/>
        <v>#NAME?</v>
      </c>
      <c r="I371" s="2" t="s">
        <v>2251</v>
      </c>
      <c r="J371" s="4" t="s">
        <v>2252</v>
      </c>
    </row>
    <row r="372">
      <c r="A372" s="1">
        <v>371.0</v>
      </c>
      <c r="B372" s="1" t="s">
        <v>2246</v>
      </c>
      <c r="C372" s="1" t="s">
        <v>2247</v>
      </c>
      <c r="E372" s="1" t="s">
        <v>2248</v>
      </c>
      <c r="F372" s="2" t="s">
        <v>2253</v>
      </c>
      <c r="G372" s="2" t="s">
        <v>2254</v>
      </c>
      <c r="H372" s="3" t="str">
        <f t="shared" si="1"/>
        <v>#NAME?</v>
      </c>
      <c r="I372" s="2" t="s">
        <v>2255</v>
      </c>
      <c r="J372" s="4" t="s">
        <v>2252</v>
      </c>
    </row>
    <row r="373">
      <c r="A373" s="1">
        <v>372.0</v>
      </c>
      <c r="B373" s="1" t="s">
        <v>2246</v>
      </c>
      <c r="C373" s="1" t="s">
        <v>2256</v>
      </c>
      <c r="E373" s="1" t="s">
        <v>2257</v>
      </c>
      <c r="F373" s="2" t="s">
        <v>2258</v>
      </c>
      <c r="G373" s="2" t="s">
        <v>2259</v>
      </c>
      <c r="H373" s="3" t="str">
        <f t="shared" si="1"/>
        <v>#NAME?</v>
      </c>
      <c r="I373" s="2" t="s">
        <v>2260</v>
      </c>
      <c r="J373" s="4" t="s">
        <v>2252</v>
      </c>
    </row>
    <row r="374">
      <c r="A374" s="1">
        <v>373.0</v>
      </c>
      <c r="B374" s="1" t="s">
        <v>2261</v>
      </c>
      <c r="C374" s="1" t="s">
        <v>2262</v>
      </c>
      <c r="E374" s="1" t="s">
        <v>2263</v>
      </c>
      <c r="F374" s="2" t="s">
        <v>2264</v>
      </c>
      <c r="G374" s="2" t="s">
        <v>2265</v>
      </c>
      <c r="H374" s="3" t="str">
        <f t="shared" si="1"/>
        <v>#NAME?</v>
      </c>
      <c r="I374" s="2" t="s">
        <v>2266</v>
      </c>
      <c r="J374" s="4" t="s">
        <v>2267</v>
      </c>
    </row>
    <row r="375">
      <c r="A375" s="1">
        <v>374.0</v>
      </c>
      <c r="B375" s="1" t="s">
        <v>2261</v>
      </c>
      <c r="C375" s="1" t="s">
        <v>2262</v>
      </c>
      <c r="E375" s="1" t="s">
        <v>2263</v>
      </c>
      <c r="F375" s="2" t="s">
        <v>2268</v>
      </c>
      <c r="G375" s="2" t="s">
        <v>2269</v>
      </c>
      <c r="H375" s="3" t="str">
        <f t="shared" si="1"/>
        <v>#NAME?</v>
      </c>
      <c r="I375" s="2" t="s">
        <v>2270</v>
      </c>
      <c r="J375" s="4" t="s">
        <v>2267</v>
      </c>
    </row>
    <row r="376">
      <c r="A376" s="1">
        <v>375.0</v>
      </c>
      <c r="B376" s="1" t="s">
        <v>2261</v>
      </c>
      <c r="C376" s="1" t="s">
        <v>2262</v>
      </c>
      <c r="E376" s="1" t="s">
        <v>2263</v>
      </c>
      <c r="F376" s="2" t="s">
        <v>2271</v>
      </c>
      <c r="G376" s="2" t="s">
        <v>2272</v>
      </c>
      <c r="H376" s="3" t="str">
        <f t="shared" si="1"/>
        <v>#NAME?</v>
      </c>
      <c r="I376" s="2" t="s">
        <v>2273</v>
      </c>
      <c r="J376" s="4" t="s">
        <v>2267</v>
      </c>
    </row>
    <row r="377">
      <c r="A377" s="1">
        <v>376.0</v>
      </c>
      <c r="B377" s="1" t="s">
        <v>2274</v>
      </c>
      <c r="C377" s="1" t="s">
        <v>2275</v>
      </c>
      <c r="E377" s="1" t="s">
        <v>2276</v>
      </c>
      <c r="F377" s="2" t="s">
        <v>2277</v>
      </c>
      <c r="G377" s="2" t="s">
        <v>2278</v>
      </c>
      <c r="H377" s="3" t="str">
        <f t="shared" si="1"/>
        <v>#NAME?</v>
      </c>
      <c r="I377" s="2" t="s">
        <v>2279</v>
      </c>
      <c r="J377" s="4" t="s">
        <v>2280</v>
      </c>
    </row>
    <row r="378">
      <c r="A378" s="1">
        <v>377.0</v>
      </c>
      <c r="B378" s="1" t="s">
        <v>2281</v>
      </c>
      <c r="C378" s="1" t="s">
        <v>2282</v>
      </c>
      <c r="E378" s="1" t="s">
        <v>2283</v>
      </c>
      <c r="F378" s="2" t="s">
        <v>2284</v>
      </c>
      <c r="G378" s="2" t="s">
        <v>2285</v>
      </c>
      <c r="H378" s="3" t="str">
        <f t="shared" si="1"/>
        <v>#NAME?</v>
      </c>
      <c r="I378" s="2" t="s">
        <v>2286</v>
      </c>
      <c r="J378" s="4" t="s">
        <v>2287</v>
      </c>
    </row>
    <row r="379">
      <c r="A379" s="1">
        <v>378.0</v>
      </c>
      <c r="B379" s="1" t="s">
        <v>2288</v>
      </c>
      <c r="C379" s="1" t="s">
        <v>2289</v>
      </c>
      <c r="E379" s="1" t="s">
        <v>2290</v>
      </c>
      <c r="F379" s="2" t="s">
        <v>2291</v>
      </c>
      <c r="G379" s="2" t="s">
        <v>2292</v>
      </c>
      <c r="H379" s="3" t="str">
        <f t="shared" si="1"/>
        <v>#NAME?</v>
      </c>
      <c r="I379" s="2" t="s">
        <v>2293</v>
      </c>
      <c r="J379" s="4" t="s">
        <v>2294</v>
      </c>
    </row>
    <row r="380">
      <c r="A380" s="1">
        <v>379.0</v>
      </c>
      <c r="B380" s="1" t="s">
        <v>2288</v>
      </c>
      <c r="C380" s="1" t="s">
        <v>2289</v>
      </c>
      <c r="E380" s="1" t="s">
        <v>2290</v>
      </c>
      <c r="F380" s="2" t="s">
        <v>2295</v>
      </c>
      <c r="G380" s="2" t="s">
        <v>2296</v>
      </c>
      <c r="H380" s="3" t="str">
        <f t="shared" si="1"/>
        <v>#NAME?</v>
      </c>
      <c r="I380" s="2" t="s">
        <v>2297</v>
      </c>
      <c r="J380" s="4" t="s">
        <v>2294</v>
      </c>
    </row>
    <row r="381">
      <c r="A381" s="1">
        <v>380.0</v>
      </c>
      <c r="B381" s="1" t="s">
        <v>2298</v>
      </c>
      <c r="C381" s="1" t="s">
        <v>2299</v>
      </c>
      <c r="E381" s="1" t="s">
        <v>2300</v>
      </c>
      <c r="F381" s="2" t="s">
        <v>2301</v>
      </c>
      <c r="G381" s="2" t="s">
        <v>2302</v>
      </c>
      <c r="H381" s="3" t="str">
        <f t="shared" si="1"/>
        <v>#NAME?</v>
      </c>
      <c r="I381" s="2" t="s">
        <v>2303</v>
      </c>
      <c r="J381" s="4" t="s">
        <v>2304</v>
      </c>
    </row>
    <row r="382">
      <c r="A382" s="1">
        <v>381.0</v>
      </c>
      <c r="B382" s="1" t="s">
        <v>2305</v>
      </c>
      <c r="C382" s="1" t="s">
        <v>2306</v>
      </c>
      <c r="E382" s="1" t="s">
        <v>2307</v>
      </c>
      <c r="F382" s="2" t="s">
        <v>2308</v>
      </c>
      <c r="G382" s="2" t="s">
        <v>2309</v>
      </c>
      <c r="H382" s="3" t="str">
        <f t="shared" si="1"/>
        <v>#NAME?</v>
      </c>
      <c r="I382" s="2" t="s">
        <v>2310</v>
      </c>
      <c r="J382" s="4" t="s">
        <v>2311</v>
      </c>
    </row>
    <row r="383">
      <c r="A383" s="1">
        <v>382.0</v>
      </c>
      <c r="B383" s="1" t="s">
        <v>2312</v>
      </c>
      <c r="C383" s="1" t="s">
        <v>2313</v>
      </c>
      <c r="E383" s="1" t="s">
        <v>2314</v>
      </c>
      <c r="F383" s="2" t="s">
        <v>2315</v>
      </c>
      <c r="G383" s="2" t="s">
        <v>2316</v>
      </c>
      <c r="H383" s="3" t="str">
        <f t="shared" si="1"/>
        <v>#NAME?</v>
      </c>
      <c r="I383" s="2" t="s">
        <v>2317</v>
      </c>
      <c r="J383" s="4" t="s">
        <v>2318</v>
      </c>
    </row>
    <row r="384">
      <c r="A384" s="1">
        <v>383.0</v>
      </c>
      <c r="B384" s="1" t="s">
        <v>2319</v>
      </c>
      <c r="C384" s="1" t="s">
        <v>2320</v>
      </c>
      <c r="E384" s="1" t="s">
        <v>2321</v>
      </c>
      <c r="F384" s="2" t="s">
        <v>2322</v>
      </c>
      <c r="G384" s="2" t="s">
        <v>2323</v>
      </c>
      <c r="H384" s="3" t="str">
        <f t="shared" si="1"/>
        <v>#NAME?</v>
      </c>
      <c r="I384" s="2" t="s">
        <v>2324</v>
      </c>
      <c r="J384" s="4" t="s">
        <v>2325</v>
      </c>
    </row>
    <row r="385">
      <c r="A385" s="1">
        <v>384.0</v>
      </c>
      <c r="B385" s="1" t="s">
        <v>2326</v>
      </c>
      <c r="C385" s="1" t="s">
        <v>2327</v>
      </c>
      <c r="E385" s="1" t="s">
        <v>2328</v>
      </c>
      <c r="F385" s="2" t="s">
        <v>2329</v>
      </c>
      <c r="G385" s="2" t="s">
        <v>2330</v>
      </c>
      <c r="H385" s="3" t="str">
        <f t="shared" si="1"/>
        <v>#NAME?</v>
      </c>
      <c r="I385" s="2" t="s">
        <v>2331</v>
      </c>
      <c r="J385" s="4" t="s">
        <v>2332</v>
      </c>
    </row>
    <row r="386">
      <c r="A386" s="1">
        <v>385.0</v>
      </c>
      <c r="B386" s="1" t="s">
        <v>2326</v>
      </c>
      <c r="C386" s="1" t="s">
        <v>2333</v>
      </c>
      <c r="E386" s="1" t="s">
        <v>2334</v>
      </c>
      <c r="F386" s="2" t="s">
        <v>2335</v>
      </c>
      <c r="G386" s="2" t="s">
        <v>2336</v>
      </c>
      <c r="H386" s="3" t="str">
        <f t="shared" si="1"/>
        <v>#NAME?</v>
      </c>
      <c r="I386" s="2" t="s">
        <v>2337</v>
      </c>
      <c r="J386" s="4" t="s">
        <v>2332</v>
      </c>
    </row>
    <row r="387">
      <c r="A387" s="1">
        <v>386.0</v>
      </c>
      <c r="B387" s="1" t="s">
        <v>2338</v>
      </c>
      <c r="C387" s="1" t="s">
        <v>2339</v>
      </c>
      <c r="E387" s="1" t="s">
        <v>2340</v>
      </c>
      <c r="F387" s="2" t="s">
        <v>2341</v>
      </c>
      <c r="G387" s="2" t="s">
        <v>2342</v>
      </c>
      <c r="H387" s="3" t="str">
        <f t="shared" si="1"/>
        <v>#NAME?</v>
      </c>
      <c r="I387" s="2" t="s">
        <v>2343</v>
      </c>
      <c r="J387" s="4" t="s">
        <v>2344</v>
      </c>
    </row>
    <row r="388">
      <c r="A388" s="1">
        <v>387.0</v>
      </c>
      <c r="B388" s="1" t="s">
        <v>2345</v>
      </c>
      <c r="C388" s="1" t="s">
        <v>2346</v>
      </c>
      <c r="E388" s="1" t="s">
        <v>2347</v>
      </c>
      <c r="F388" s="2" t="s">
        <v>2348</v>
      </c>
      <c r="G388" s="2" t="s">
        <v>2349</v>
      </c>
      <c r="H388" s="3" t="str">
        <f t="shared" si="1"/>
        <v>#NAME?</v>
      </c>
      <c r="I388" s="2" t="s">
        <v>2350</v>
      </c>
      <c r="J388" s="4" t="s">
        <v>2351</v>
      </c>
    </row>
    <row r="389">
      <c r="A389" s="1">
        <v>388.0</v>
      </c>
      <c r="B389" s="1" t="s">
        <v>2345</v>
      </c>
      <c r="C389" s="1" t="s">
        <v>2346</v>
      </c>
      <c r="E389" s="1" t="s">
        <v>2347</v>
      </c>
      <c r="F389" s="2" t="s">
        <v>2352</v>
      </c>
      <c r="G389" s="2" t="s">
        <v>2353</v>
      </c>
      <c r="H389" s="3" t="str">
        <f t="shared" si="1"/>
        <v>#NAME?</v>
      </c>
      <c r="I389" s="2" t="s">
        <v>2354</v>
      </c>
      <c r="J389" s="4" t="s">
        <v>2351</v>
      </c>
    </row>
    <row r="390">
      <c r="A390" s="1">
        <v>389.0</v>
      </c>
      <c r="B390" s="1" t="s">
        <v>2345</v>
      </c>
      <c r="C390" s="1" t="s">
        <v>2346</v>
      </c>
      <c r="E390" s="1" t="s">
        <v>2347</v>
      </c>
      <c r="F390" s="2" t="s">
        <v>2355</v>
      </c>
      <c r="G390" s="2" t="s">
        <v>2356</v>
      </c>
      <c r="H390" s="3" t="str">
        <f t="shared" si="1"/>
        <v>#NAME?</v>
      </c>
      <c r="I390" s="2" t="s">
        <v>2357</v>
      </c>
      <c r="J390" s="4" t="s">
        <v>2351</v>
      </c>
    </row>
    <row r="391">
      <c r="A391" s="1">
        <v>390.0</v>
      </c>
      <c r="B391" s="1" t="s">
        <v>2345</v>
      </c>
      <c r="C391" s="1" t="s">
        <v>2358</v>
      </c>
      <c r="E391" s="1" t="s">
        <v>2359</v>
      </c>
      <c r="F391" s="2" t="s">
        <v>2360</v>
      </c>
      <c r="G391" s="2" t="s">
        <v>2361</v>
      </c>
      <c r="H391" s="3" t="str">
        <f t="shared" si="1"/>
        <v>#NAME?</v>
      </c>
      <c r="I391" s="2" t="s">
        <v>2362</v>
      </c>
      <c r="J391" s="4" t="s">
        <v>2351</v>
      </c>
    </row>
    <row r="392">
      <c r="A392" s="1">
        <v>391.0</v>
      </c>
      <c r="B392" s="1" t="s">
        <v>2363</v>
      </c>
      <c r="C392" s="1" t="s">
        <v>2364</v>
      </c>
      <c r="E392" s="1" t="s">
        <v>2365</v>
      </c>
      <c r="F392" s="2" t="s">
        <v>2366</v>
      </c>
      <c r="G392" s="2" t="s">
        <v>2367</v>
      </c>
      <c r="H392" s="3" t="str">
        <f t="shared" si="1"/>
        <v>#NAME?</v>
      </c>
      <c r="I392" s="2" t="s">
        <v>2368</v>
      </c>
      <c r="J392" s="4" t="s">
        <v>2369</v>
      </c>
    </row>
    <row r="393">
      <c r="A393" s="1">
        <v>392.0</v>
      </c>
      <c r="B393" s="1" t="s">
        <v>2370</v>
      </c>
      <c r="C393" s="1" t="s">
        <v>2371</v>
      </c>
      <c r="E393" s="1" t="s">
        <v>2372</v>
      </c>
      <c r="F393" s="2" t="s">
        <v>2373</v>
      </c>
      <c r="G393" s="2" t="s">
        <v>2374</v>
      </c>
      <c r="H393" s="3" t="str">
        <f t="shared" si="1"/>
        <v>#NAME?</v>
      </c>
      <c r="I393" s="2" t="s">
        <v>2375</v>
      </c>
      <c r="J393" s="4" t="s">
        <v>2376</v>
      </c>
    </row>
    <row r="394">
      <c r="A394" s="1">
        <v>393.0</v>
      </c>
      <c r="B394" s="1" t="s">
        <v>2377</v>
      </c>
      <c r="C394" s="1" t="s">
        <v>2378</v>
      </c>
      <c r="E394" s="1" t="s">
        <v>2379</v>
      </c>
      <c r="F394" s="2" t="s">
        <v>2380</v>
      </c>
      <c r="G394" s="2" t="s">
        <v>2381</v>
      </c>
      <c r="H394" s="3" t="str">
        <f t="shared" si="1"/>
        <v>#NAME?</v>
      </c>
      <c r="I394" s="2" t="s">
        <v>2382</v>
      </c>
      <c r="J394" s="4" t="s">
        <v>2383</v>
      </c>
    </row>
    <row r="395">
      <c r="A395" s="1">
        <v>394.0</v>
      </c>
      <c r="B395" s="1" t="s">
        <v>2384</v>
      </c>
      <c r="C395" s="1" t="s">
        <v>2385</v>
      </c>
      <c r="E395" s="1" t="s">
        <v>2386</v>
      </c>
      <c r="F395" s="2" t="s">
        <v>2387</v>
      </c>
      <c r="G395" s="2" t="s">
        <v>2388</v>
      </c>
      <c r="H395" s="3" t="str">
        <f t="shared" si="1"/>
        <v>#NAME?</v>
      </c>
      <c r="I395" s="2" t="s">
        <v>2389</v>
      </c>
      <c r="J395" s="4" t="s">
        <v>2390</v>
      </c>
    </row>
    <row r="396">
      <c r="A396" s="1">
        <v>395.0</v>
      </c>
      <c r="B396" s="1" t="s">
        <v>2384</v>
      </c>
      <c r="C396" s="1" t="s">
        <v>2385</v>
      </c>
      <c r="E396" s="1" t="s">
        <v>2386</v>
      </c>
      <c r="F396" s="2" t="s">
        <v>2391</v>
      </c>
      <c r="G396" s="2" t="s">
        <v>2392</v>
      </c>
      <c r="H396" s="3" t="str">
        <f t="shared" si="1"/>
        <v>#NAME?</v>
      </c>
      <c r="I396" s="2" t="s">
        <v>2393</v>
      </c>
      <c r="J396" s="4" t="s">
        <v>2390</v>
      </c>
    </row>
    <row r="397">
      <c r="A397" s="1">
        <v>396.0</v>
      </c>
      <c r="B397" s="1" t="s">
        <v>2384</v>
      </c>
      <c r="C397" s="1" t="s">
        <v>2385</v>
      </c>
      <c r="E397" s="1" t="s">
        <v>2386</v>
      </c>
      <c r="F397" s="2" t="s">
        <v>2394</v>
      </c>
      <c r="G397" s="2" t="s">
        <v>2395</v>
      </c>
      <c r="H397" s="3" t="str">
        <f t="shared" si="1"/>
        <v>#NAME?</v>
      </c>
      <c r="I397" s="2" t="s">
        <v>2396</v>
      </c>
      <c r="J397" s="4" t="s">
        <v>2390</v>
      </c>
    </row>
    <row r="398">
      <c r="A398" s="1">
        <v>397.0</v>
      </c>
      <c r="B398" s="1" t="s">
        <v>2384</v>
      </c>
      <c r="C398" s="1" t="s">
        <v>2397</v>
      </c>
      <c r="E398" s="1" t="s">
        <v>2398</v>
      </c>
      <c r="F398" s="2" t="s">
        <v>2399</v>
      </c>
      <c r="G398" s="2" t="s">
        <v>2400</v>
      </c>
      <c r="H398" s="3" t="str">
        <f t="shared" si="1"/>
        <v>#NAME?</v>
      </c>
      <c r="I398" s="2" t="s">
        <v>2401</v>
      </c>
      <c r="J398" s="4" t="s">
        <v>2390</v>
      </c>
    </row>
    <row r="399">
      <c r="A399" s="1">
        <v>398.0</v>
      </c>
      <c r="B399" s="1" t="s">
        <v>2384</v>
      </c>
      <c r="C399" s="1" t="s">
        <v>2397</v>
      </c>
      <c r="E399" s="1" t="s">
        <v>2398</v>
      </c>
      <c r="F399" s="2" t="s">
        <v>2402</v>
      </c>
      <c r="G399" s="2" t="s">
        <v>2403</v>
      </c>
      <c r="H399" s="3" t="str">
        <f t="shared" si="1"/>
        <v>#NAME?</v>
      </c>
      <c r="I399" s="2" t="s">
        <v>2404</v>
      </c>
      <c r="J399" s="4" t="s">
        <v>2390</v>
      </c>
    </row>
    <row r="400">
      <c r="A400" s="1">
        <v>399.0</v>
      </c>
      <c r="B400" s="1" t="s">
        <v>2405</v>
      </c>
      <c r="C400" s="1" t="s">
        <v>2406</v>
      </c>
      <c r="E400" s="1" t="s">
        <v>2407</v>
      </c>
      <c r="F400" s="2" t="s">
        <v>2408</v>
      </c>
      <c r="G400" s="2" t="s">
        <v>2409</v>
      </c>
      <c r="H400" s="3" t="str">
        <f t="shared" si="1"/>
        <v>#NAME?</v>
      </c>
      <c r="I400" s="2" t="s">
        <v>2410</v>
      </c>
      <c r="J400" s="4" t="s">
        <v>2411</v>
      </c>
    </row>
    <row r="401">
      <c r="A401" s="1">
        <v>400.0</v>
      </c>
      <c r="B401" s="1" t="s">
        <v>2405</v>
      </c>
      <c r="C401" s="1" t="s">
        <v>2406</v>
      </c>
      <c r="E401" s="1" t="s">
        <v>2407</v>
      </c>
      <c r="F401" s="2" t="s">
        <v>2412</v>
      </c>
      <c r="G401" s="2" t="s">
        <v>2413</v>
      </c>
      <c r="H401" s="3" t="str">
        <f t="shared" si="1"/>
        <v>#NAME?</v>
      </c>
      <c r="I401" s="2" t="s">
        <v>2414</v>
      </c>
      <c r="J401" s="4" t="s">
        <v>2411</v>
      </c>
    </row>
    <row r="402">
      <c r="A402" s="1">
        <v>401.0</v>
      </c>
      <c r="B402" s="1" t="s">
        <v>2415</v>
      </c>
      <c r="C402" s="1" t="s">
        <v>1947</v>
      </c>
      <c r="E402" s="1" t="s">
        <v>1948</v>
      </c>
      <c r="F402" s="2" t="s">
        <v>1949</v>
      </c>
      <c r="G402" s="2" t="s">
        <v>2416</v>
      </c>
      <c r="H402" s="3" t="str">
        <f t="shared" si="1"/>
        <v>#NAME?</v>
      </c>
      <c r="I402" s="2" t="s">
        <v>2417</v>
      </c>
      <c r="J402" s="4" t="s">
        <v>2418</v>
      </c>
    </row>
    <row r="403">
      <c r="A403" s="1">
        <v>402.0</v>
      </c>
      <c r="B403" s="1" t="s">
        <v>2415</v>
      </c>
      <c r="C403" s="1" t="s">
        <v>2419</v>
      </c>
      <c r="E403" s="1" t="s">
        <v>2420</v>
      </c>
      <c r="F403" s="2" t="s">
        <v>2421</v>
      </c>
      <c r="G403" s="2" t="s">
        <v>2422</v>
      </c>
      <c r="H403" s="3" t="str">
        <f t="shared" si="1"/>
        <v>#NAME?</v>
      </c>
      <c r="I403" s="2" t="s">
        <v>2423</v>
      </c>
      <c r="J403" s="4" t="s">
        <v>2418</v>
      </c>
    </row>
    <row r="404">
      <c r="A404" s="1">
        <v>403.0</v>
      </c>
      <c r="B404" s="1" t="s">
        <v>2424</v>
      </c>
      <c r="C404" s="1" t="s">
        <v>2425</v>
      </c>
      <c r="E404" s="1" t="s">
        <v>2426</v>
      </c>
      <c r="F404" s="2" t="s">
        <v>2427</v>
      </c>
      <c r="G404" s="2" t="s">
        <v>2428</v>
      </c>
      <c r="H404" s="3" t="str">
        <f t="shared" si="1"/>
        <v>#NAME?</v>
      </c>
      <c r="I404" s="2" t="s">
        <v>2429</v>
      </c>
      <c r="J404" s="4" t="s">
        <v>2430</v>
      </c>
    </row>
    <row r="405">
      <c r="A405" s="1">
        <v>404.0</v>
      </c>
      <c r="B405" s="1" t="s">
        <v>2424</v>
      </c>
      <c r="C405" s="1" t="s">
        <v>2425</v>
      </c>
      <c r="E405" s="1" t="s">
        <v>2426</v>
      </c>
      <c r="F405" s="2" t="s">
        <v>2431</v>
      </c>
      <c r="G405" s="2" t="s">
        <v>2432</v>
      </c>
      <c r="H405" s="3" t="str">
        <f t="shared" si="1"/>
        <v>#NAME?</v>
      </c>
      <c r="I405" s="2" t="s">
        <v>2433</v>
      </c>
      <c r="J405" s="4" t="s">
        <v>2430</v>
      </c>
    </row>
    <row r="406">
      <c r="A406" s="1">
        <v>405.0</v>
      </c>
      <c r="B406" s="1" t="s">
        <v>2434</v>
      </c>
      <c r="C406" s="1" t="s">
        <v>2435</v>
      </c>
      <c r="E406" s="1" t="s">
        <v>2436</v>
      </c>
      <c r="F406" s="2" t="s">
        <v>2437</v>
      </c>
      <c r="G406" s="2" t="s">
        <v>2438</v>
      </c>
      <c r="H406" s="3" t="str">
        <f t="shared" si="1"/>
        <v>#NAME?</v>
      </c>
      <c r="I406" s="2" t="s">
        <v>2439</v>
      </c>
      <c r="J406" s="4" t="s">
        <v>2440</v>
      </c>
    </row>
    <row r="407">
      <c r="A407" s="1">
        <v>406.0</v>
      </c>
      <c r="B407" s="1" t="s">
        <v>2434</v>
      </c>
      <c r="C407" s="1" t="s">
        <v>2435</v>
      </c>
      <c r="E407" s="1" t="s">
        <v>2436</v>
      </c>
      <c r="F407" s="2" t="s">
        <v>2441</v>
      </c>
      <c r="G407" s="2" t="s">
        <v>2442</v>
      </c>
      <c r="H407" s="3" t="str">
        <f t="shared" si="1"/>
        <v>#NAME?</v>
      </c>
      <c r="I407" s="2" t="s">
        <v>2443</v>
      </c>
      <c r="J407" s="4" t="s">
        <v>2440</v>
      </c>
    </row>
    <row r="408">
      <c r="A408" s="1">
        <v>407.0</v>
      </c>
      <c r="B408" s="1" t="s">
        <v>2444</v>
      </c>
      <c r="C408" s="1" t="s">
        <v>2445</v>
      </c>
      <c r="E408" s="1" t="s">
        <v>2446</v>
      </c>
      <c r="F408" s="2" t="s">
        <v>2447</v>
      </c>
      <c r="G408" s="2" t="s">
        <v>2448</v>
      </c>
      <c r="H408" s="3" t="str">
        <f t="shared" si="1"/>
        <v>#NAME?</v>
      </c>
      <c r="I408" s="2" t="s">
        <v>2449</v>
      </c>
      <c r="J408" s="4" t="s">
        <v>2450</v>
      </c>
    </row>
    <row r="409">
      <c r="A409" s="1">
        <v>408.0</v>
      </c>
      <c r="B409" s="1" t="s">
        <v>2444</v>
      </c>
      <c r="C409" s="1" t="s">
        <v>2451</v>
      </c>
      <c r="E409" s="1" t="s">
        <v>2452</v>
      </c>
      <c r="F409" s="2" t="s">
        <v>2453</v>
      </c>
      <c r="G409" s="2" t="s">
        <v>2454</v>
      </c>
      <c r="H409" s="3" t="str">
        <f t="shared" si="1"/>
        <v>#NAME?</v>
      </c>
      <c r="I409" s="2" t="s">
        <v>2455</v>
      </c>
      <c r="J409" s="4" t="s">
        <v>2450</v>
      </c>
    </row>
    <row r="410">
      <c r="A410" s="1">
        <v>409.0</v>
      </c>
      <c r="B410" s="1" t="s">
        <v>2456</v>
      </c>
      <c r="C410" s="1" t="s">
        <v>2457</v>
      </c>
      <c r="E410" s="1" t="s">
        <v>2458</v>
      </c>
      <c r="F410" s="2" t="s">
        <v>2459</v>
      </c>
      <c r="G410" s="2" t="s">
        <v>2460</v>
      </c>
      <c r="H410" s="3" t="str">
        <f t="shared" si="1"/>
        <v>#NAME?</v>
      </c>
      <c r="I410" s="2" t="s">
        <v>2461</v>
      </c>
      <c r="J410" s="4" t="s">
        <v>2462</v>
      </c>
    </row>
    <row r="411">
      <c r="A411" s="1">
        <v>410.0</v>
      </c>
      <c r="B411" s="1" t="s">
        <v>2463</v>
      </c>
      <c r="C411" s="1" t="s">
        <v>2464</v>
      </c>
      <c r="E411" s="1" t="s">
        <v>2465</v>
      </c>
      <c r="F411" s="2" t="s">
        <v>2466</v>
      </c>
      <c r="G411" s="2" t="s">
        <v>2467</v>
      </c>
      <c r="H411" s="3" t="str">
        <f t="shared" si="1"/>
        <v>#NAME?</v>
      </c>
      <c r="I411" s="2" t="s">
        <v>2468</v>
      </c>
      <c r="J411" s="4" t="s">
        <v>2469</v>
      </c>
    </row>
    <row r="412">
      <c r="A412" s="1">
        <v>411.0</v>
      </c>
      <c r="B412" s="1" t="s">
        <v>2463</v>
      </c>
      <c r="C412" s="1" t="s">
        <v>2464</v>
      </c>
      <c r="E412" s="1" t="s">
        <v>2465</v>
      </c>
      <c r="F412" s="2" t="s">
        <v>2470</v>
      </c>
      <c r="G412" s="2" t="s">
        <v>2471</v>
      </c>
      <c r="H412" s="3" t="str">
        <f t="shared" si="1"/>
        <v>#NAME?</v>
      </c>
      <c r="I412" s="2" t="s">
        <v>2472</v>
      </c>
      <c r="J412" s="4" t="s">
        <v>2469</v>
      </c>
    </row>
    <row r="413">
      <c r="A413" s="1">
        <v>412.0</v>
      </c>
      <c r="B413" s="1" t="s">
        <v>2473</v>
      </c>
      <c r="C413" s="1" t="s">
        <v>2474</v>
      </c>
      <c r="E413" s="1" t="s">
        <v>2475</v>
      </c>
      <c r="F413" s="2" t="s">
        <v>2476</v>
      </c>
      <c r="G413" s="2" t="s">
        <v>2477</v>
      </c>
      <c r="H413" s="3" t="str">
        <f t="shared" si="1"/>
        <v>#NAME?</v>
      </c>
      <c r="I413" s="2" t="s">
        <v>2478</v>
      </c>
      <c r="J413" s="4" t="s">
        <v>2479</v>
      </c>
    </row>
    <row r="414">
      <c r="A414" s="1">
        <v>413.0</v>
      </c>
      <c r="B414" s="1" t="s">
        <v>2473</v>
      </c>
      <c r="C414" s="1" t="s">
        <v>2474</v>
      </c>
      <c r="E414" s="1" t="s">
        <v>2475</v>
      </c>
      <c r="F414" s="2" t="s">
        <v>2480</v>
      </c>
      <c r="G414" s="2" t="s">
        <v>2481</v>
      </c>
      <c r="H414" s="3" t="str">
        <f t="shared" si="1"/>
        <v>#NAME?</v>
      </c>
      <c r="I414" s="2" t="s">
        <v>2482</v>
      </c>
      <c r="J414" s="4" t="s">
        <v>2479</v>
      </c>
    </row>
    <row r="415">
      <c r="A415" s="1">
        <v>414.0</v>
      </c>
      <c r="B415" s="1" t="s">
        <v>2473</v>
      </c>
      <c r="C415" s="1" t="s">
        <v>2474</v>
      </c>
      <c r="E415" s="1" t="s">
        <v>2475</v>
      </c>
      <c r="F415" s="2" t="s">
        <v>2483</v>
      </c>
      <c r="G415" s="2" t="s">
        <v>2484</v>
      </c>
      <c r="H415" s="3" t="str">
        <f t="shared" si="1"/>
        <v>#NAME?</v>
      </c>
      <c r="I415" s="2" t="s">
        <v>2485</v>
      </c>
      <c r="J415" s="4" t="s">
        <v>2479</v>
      </c>
    </row>
    <row r="416">
      <c r="A416" s="1">
        <v>415.0</v>
      </c>
      <c r="B416" s="1" t="s">
        <v>2473</v>
      </c>
      <c r="C416" s="1" t="s">
        <v>2474</v>
      </c>
      <c r="E416" s="1" t="s">
        <v>2475</v>
      </c>
      <c r="F416" s="2" t="s">
        <v>2486</v>
      </c>
      <c r="G416" s="2" t="s">
        <v>2487</v>
      </c>
      <c r="H416" s="3" t="str">
        <f t="shared" si="1"/>
        <v>#NAME?</v>
      </c>
      <c r="I416" s="2" t="s">
        <v>2488</v>
      </c>
      <c r="J416" s="4" t="s">
        <v>2479</v>
      </c>
    </row>
    <row r="417">
      <c r="A417" s="1">
        <v>416.0</v>
      </c>
      <c r="B417" s="1" t="s">
        <v>2489</v>
      </c>
      <c r="C417" s="1" t="s">
        <v>2490</v>
      </c>
      <c r="E417" s="1" t="s">
        <v>2491</v>
      </c>
      <c r="F417" s="2" t="s">
        <v>150</v>
      </c>
      <c r="G417" s="2" t="s">
        <v>2492</v>
      </c>
      <c r="H417" s="3" t="str">
        <f t="shared" si="1"/>
        <v>#NAME?</v>
      </c>
      <c r="I417" s="2" t="s">
        <v>2493</v>
      </c>
      <c r="J417" s="4" t="s">
        <v>2494</v>
      </c>
    </row>
    <row r="418">
      <c r="A418" s="1">
        <v>417.0</v>
      </c>
      <c r="B418" s="1" t="s">
        <v>2489</v>
      </c>
      <c r="C418" s="1" t="s">
        <v>2490</v>
      </c>
      <c r="E418" s="1" t="s">
        <v>2491</v>
      </c>
      <c r="F418" s="2" t="s">
        <v>2495</v>
      </c>
      <c r="G418" s="2" t="s">
        <v>2496</v>
      </c>
      <c r="H418" s="3" t="str">
        <f t="shared" si="1"/>
        <v>#NAME?</v>
      </c>
      <c r="I418" s="2" t="s">
        <v>2497</v>
      </c>
      <c r="J418" s="4" t="s">
        <v>2494</v>
      </c>
    </row>
    <row r="419">
      <c r="A419" s="1">
        <v>418.0</v>
      </c>
      <c r="B419" s="1" t="s">
        <v>2498</v>
      </c>
      <c r="C419" s="1" t="s">
        <v>2499</v>
      </c>
      <c r="E419" s="1" t="s">
        <v>2500</v>
      </c>
      <c r="F419" s="2" t="s">
        <v>575</v>
      </c>
      <c r="G419" s="2" t="s">
        <v>2501</v>
      </c>
      <c r="H419" s="3" t="str">
        <f t="shared" si="1"/>
        <v>#NAME?</v>
      </c>
      <c r="I419" s="2" t="s">
        <v>2502</v>
      </c>
      <c r="J419" s="4" t="s">
        <v>2503</v>
      </c>
    </row>
    <row r="420">
      <c r="A420" s="1">
        <v>419.0</v>
      </c>
      <c r="B420" s="1" t="s">
        <v>2504</v>
      </c>
      <c r="C420" s="1" t="s">
        <v>2505</v>
      </c>
      <c r="E420" s="1" t="s">
        <v>2506</v>
      </c>
      <c r="F420" s="2" t="s">
        <v>2507</v>
      </c>
      <c r="G420" s="2" t="s">
        <v>2508</v>
      </c>
      <c r="H420" s="3" t="str">
        <f t="shared" si="1"/>
        <v>#NAME?</v>
      </c>
      <c r="I420" s="2" t="s">
        <v>2509</v>
      </c>
      <c r="J420" s="4" t="s">
        <v>2510</v>
      </c>
    </row>
    <row r="421">
      <c r="A421" s="1">
        <v>420.0</v>
      </c>
      <c r="B421" s="1" t="s">
        <v>2504</v>
      </c>
      <c r="C421" s="1" t="s">
        <v>2072</v>
      </c>
      <c r="E421" s="1" t="s">
        <v>2073</v>
      </c>
      <c r="F421" s="2" t="s">
        <v>2511</v>
      </c>
      <c r="G421" s="2" t="s">
        <v>2512</v>
      </c>
      <c r="H421" s="3" t="str">
        <f t="shared" si="1"/>
        <v>#NAME?</v>
      </c>
      <c r="I421" s="2" t="s">
        <v>2513</v>
      </c>
      <c r="J421" s="4" t="s">
        <v>2510</v>
      </c>
    </row>
    <row r="422">
      <c r="A422" s="1">
        <v>421.0</v>
      </c>
      <c r="B422" s="1" t="s">
        <v>2504</v>
      </c>
      <c r="C422" s="1" t="s">
        <v>2072</v>
      </c>
      <c r="E422" s="1" t="s">
        <v>2073</v>
      </c>
      <c r="F422" s="2" t="s">
        <v>2514</v>
      </c>
      <c r="G422" s="2" t="s">
        <v>2515</v>
      </c>
      <c r="H422" s="3" t="str">
        <f t="shared" si="1"/>
        <v>#NAME?</v>
      </c>
      <c r="I422" s="2" t="s">
        <v>2516</v>
      </c>
      <c r="J422" s="4" t="s">
        <v>2510</v>
      </c>
    </row>
    <row r="423">
      <c r="A423" s="1">
        <v>422.0</v>
      </c>
      <c r="B423" s="1" t="s">
        <v>2517</v>
      </c>
      <c r="C423" s="1" t="s">
        <v>2518</v>
      </c>
      <c r="E423" s="1" t="s">
        <v>2519</v>
      </c>
      <c r="F423" s="2" t="s">
        <v>2520</v>
      </c>
      <c r="G423" s="2" t="s">
        <v>2521</v>
      </c>
      <c r="H423" s="3" t="str">
        <f t="shared" si="1"/>
        <v>#NAME?</v>
      </c>
      <c r="I423" s="2" t="s">
        <v>2522</v>
      </c>
      <c r="J423" s="4" t="s">
        <v>2523</v>
      </c>
    </row>
    <row r="424">
      <c r="A424" s="1">
        <v>423.0</v>
      </c>
      <c r="B424" s="1" t="s">
        <v>2524</v>
      </c>
      <c r="C424" s="1" t="s">
        <v>2525</v>
      </c>
      <c r="E424" s="1" t="s">
        <v>2526</v>
      </c>
      <c r="F424" s="2" t="s">
        <v>2527</v>
      </c>
      <c r="G424" s="2" t="s">
        <v>2528</v>
      </c>
      <c r="H424" s="3" t="str">
        <f t="shared" si="1"/>
        <v>#NAME?</v>
      </c>
      <c r="I424" s="2" t="s">
        <v>2529</v>
      </c>
      <c r="J424" s="4" t="s">
        <v>2530</v>
      </c>
    </row>
    <row r="425">
      <c r="A425" s="1">
        <v>424.0</v>
      </c>
      <c r="B425" s="1" t="s">
        <v>2524</v>
      </c>
      <c r="C425" s="1" t="s">
        <v>2525</v>
      </c>
      <c r="E425" s="1" t="s">
        <v>2526</v>
      </c>
      <c r="F425" s="2" t="s">
        <v>2531</v>
      </c>
      <c r="G425" s="2" t="s">
        <v>2532</v>
      </c>
      <c r="H425" s="3" t="str">
        <f t="shared" si="1"/>
        <v>#NAME?</v>
      </c>
      <c r="I425" s="2" t="s">
        <v>2533</v>
      </c>
      <c r="J425" s="4" t="s">
        <v>2530</v>
      </c>
    </row>
    <row r="426">
      <c r="A426" s="1">
        <v>425.0</v>
      </c>
      <c r="B426" s="1" t="s">
        <v>2534</v>
      </c>
      <c r="C426" s="1" t="s">
        <v>2535</v>
      </c>
      <c r="E426" s="1" t="s">
        <v>2536</v>
      </c>
      <c r="F426" s="2" t="s">
        <v>2537</v>
      </c>
      <c r="G426" s="2" t="s">
        <v>2538</v>
      </c>
      <c r="H426" s="3" t="str">
        <f t="shared" si="1"/>
        <v>#NAME?</v>
      </c>
      <c r="I426" s="2" t="s">
        <v>2539</v>
      </c>
      <c r="J426" s="4" t="s">
        <v>2540</v>
      </c>
    </row>
    <row r="427">
      <c r="A427" s="1">
        <v>426.0</v>
      </c>
      <c r="B427" s="1" t="s">
        <v>2534</v>
      </c>
      <c r="C427" s="1" t="s">
        <v>2541</v>
      </c>
      <c r="E427" s="1" t="s">
        <v>2542</v>
      </c>
      <c r="F427" s="2" t="s">
        <v>2543</v>
      </c>
      <c r="G427" s="2" t="s">
        <v>2544</v>
      </c>
      <c r="H427" s="3" t="str">
        <f t="shared" si="1"/>
        <v>#NAME?</v>
      </c>
      <c r="I427" s="2" t="s">
        <v>2545</v>
      </c>
      <c r="J427" s="4" t="s">
        <v>2540</v>
      </c>
    </row>
    <row r="428">
      <c r="A428" s="1">
        <v>427.0</v>
      </c>
      <c r="B428" s="1" t="s">
        <v>2534</v>
      </c>
      <c r="C428" s="1" t="s">
        <v>2546</v>
      </c>
      <c r="E428" s="1" t="s">
        <v>2547</v>
      </c>
      <c r="F428" s="2" t="s">
        <v>2548</v>
      </c>
      <c r="G428" s="2" t="s">
        <v>2549</v>
      </c>
      <c r="H428" s="3" t="str">
        <f t="shared" si="1"/>
        <v>#NAME?</v>
      </c>
      <c r="I428" s="2" t="s">
        <v>2550</v>
      </c>
      <c r="J428" s="4" t="s">
        <v>2540</v>
      </c>
    </row>
    <row r="429">
      <c r="A429" s="1">
        <v>428.0</v>
      </c>
      <c r="B429" s="1" t="s">
        <v>2551</v>
      </c>
      <c r="C429" s="1" t="s">
        <v>2552</v>
      </c>
      <c r="E429" s="1" t="s">
        <v>2553</v>
      </c>
      <c r="F429" s="2" t="s">
        <v>2554</v>
      </c>
      <c r="G429" s="2" t="s">
        <v>2555</v>
      </c>
      <c r="H429" s="3" t="str">
        <f t="shared" si="1"/>
        <v>#NAME?</v>
      </c>
      <c r="I429" s="2" t="s">
        <v>2556</v>
      </c>
      <c r="J429" s="4" t="s">
        <v>2557</v>
      </c>
    </row>
    <row r="430">
      <c r="A430" s="1">
        <v>429.0</v>
      </c>
      <c r="B430" s="1" t="s">
        <v>2551</v>
      </c>
      <c r="C430" s="1" t="s">
        <v>2558</v>
      </c>
      <c r="E430" s="1" t="s">
        <v>2559</v>
      </c>
      <c r="F430" s="2" t="s">
        <v>2560</v>
      </c>
      <c r="G430" s="2" t="s">
        <v>2561</v>
      </c>
      <c r="H430" s="3" t="str">
        <f t="shared" si="1"/>
        <v>#NAME?</v>
      </c>
      <c r="I430" s="2" t="s">
        <v>2562</v>
      </c>
      <c r="J430" s="4" t="s">
        <v>2557</v>
      </c>
    </row>
    <row r="431">
      <c r="A431" s="1">
        <v>430.0</v>
      </c>
      <c r="B431" s="1" t="s">
        <v>2563</v>
      </c>
      <c r="C431" s="1" t="s">
        <v>2564</v>
      </c>
      <c r="E431" s="1" t="s">
        <v>2565</v>
      </c>
      <c r="F431" s="2" t="s">
        <v>2566</v>
      </c>
      <c r="G431" s="2" t="s">
        <v>2567</v>
      </c>
      <c r="H431" s="3" t="str">
        <f t="shared" si="1"/>
        <v>#NAME?</v>
      </c>
      <c r="I431" s="2" t="s">
        <v>2568</v>
      </c>
      <c r="J431" s="4" t="s">
        <v>2569</v>
      </c>
    </row>
    <row r="432">
      <c r="A432" s="1">
        <v>431.0</v>
      </c>
      <c r="B432" s="1" t="s">
        <v>2570</v>
      </c>
      <c r="C432" s="1" t="s">
        <v>2571</v>
      </c>
      <c r="E432" s="1" t="s">
        <v>2572</v>
      </c>
      <c r="F432" s="2" t="s">
        <v>2573</v>
      </c>
      <c r="G432" s="2" t="s">
        <v>2574</v>
      </c>
      <c r="H432" s="3" t="str">
        <f t="shared" si="1"/>
        <v>#NAME?</v>
      </c>
      <c r="I432" s="2" t="s">
        <v>2575</v>
      </c>
      <c r="J432" s="4" t="s">
        <v>2576</v>
      </c>
    </row>
    <row r="433">
      <c r="A433" s="1">
        <v>432.0</v>
      </c>
      <c r="B433" s="1" t="s">
        <v>2577</v>
      </c>
      <c r="C433" s="1" t="s">
        <v>2578</v>
      </c>
      <c r="E433" s="1" t="s">
        <v>2579</v>
      </c>
      <c r="F433" s="2" t="s">
        <v>2580</v>
      </c>
      <c r="G433" s="2" t="s">
        <v>2581</v>
      </c>
      <c r="H433" s="3" t="str">
        <f t="shared" si="1"/>
        <v>#NAME?</v>
      </c>
      <c r="I433" s="2" t="s">
        <v>2582</v>
      </c>
      <c r="J433" s="4" t="s">
        <v>2583</v>
      </c>
    </row>
    <row r="434">
      <c r="A434" s="1">
        <v>433.0</v>
      </c>
      <c r="B434" s="1" t="s">
        <v>2584</v>
      </c>
      <c r="C434" s="1" t="s">
        <v>2585</v>
      </c>
      <c r="E434" s="1" t="s">
        <v>2586</v>
      </c>
      <c r="F434" s="2" t="s">
        <v>2587</v>
      </c>
      <c r="G434" s="2" t="s">
        <v>2588</v>
      </c>
      <c r="H434" s="3" t="str">
        <f t="shared" si="1"/>
        <v>#NAME?</v>
      </c>
      <c r="I434" s="2" t="s">
        <v>2589</v>
      </c>
      <c r="J434" s="4" t="s">
        <v>2590</v>
      </c>
    </row>
    <row r="435">
      <c r="A435" s="1">
        <v>434.0</v>
      </c>
      <c r="B435" s="1" t="s">
        <v>2591</v>
      </c>
      <c r="C435" s="1" t="s">
        <v>2592</v>
      </c>
      <c r="E435" s="1" t="s">
        <v>2593</v>
      </c>
      <c r="F435" s="2" t="s">
        <v>2441</v>
      </c>
      <c r="G435" s="2" t="s">
        <v>2594</v>
      </c>
      <c r="H435" s="3" t="str">
        <f t="shared" si="1"/>
        <v>#NAME?</v>
      </c>
      <c r="I435" s="2" t="s">
        <v>2595</v>
      </c>
      <c r="J435" s="4" t="s">
        <v>2596</v>
      </c>
    </row>
    <row r="436">
      <c r="A436" s="1">
        <v>435.0</v>
      </c>
      <c r="B436" s="1" t="s">
        <v>2597</v>
      </c>
      <c r="C436" s="1" t="s">
        <v>2598</v>
      </c>
      <c r="E436" s="1" t="s">
        <v>2599</v>
      </c>
      <c r="F436" s="2" t="s">
        <v>2600</v>
      </c>
      <c r="G436" s="2" t="s">
        <v>2601</v>
      </c>
      <c r="H436" s="3" t="str">
        <f t="shared" si="1"/>
        <v>#NAME?</v>
      </c>
      <c r="I436" s="2" t="s">
        <v>2602</v>
      </c>
      <c r="J436" s="4" t="s">
        <v>2603</v>
      </c>
    </row>
    <row r="437">
      <c r="A437" s="1">
        <v>436.0</v>
      </c>
      <c r="B437" s="1" t="s">
        <v>2597</v>
      </c>
      <c r="C437" s="1" t="s">
        <v>2604</v>
      </c>
      <c r="E437" s="1" t="s">
        <v>2605</v>
      </c>
      <c r="F437" s="2" t="s">
        <v>2606</v>
      </c>
      <c r="G437" s="2" t="s">
        <v>2607</v>
      </c>
      <c r="H437" s="3" t="str">
        <f t="shared" si="1"/>
        <v>#NAME?</v>
      </c>
      <c r="I437" s="2" t="s">
        <v>2608</v>
      </c>
      <c r="J437" s="4" t="s">
        <v>2603</v>
      </c>
    </row>
    <row r="438">
      <c r="A438" s="1">
        <v>437.0</v>
      </c>
      <c r="B438" s="1" t="s">
        <v>2609</v>
      </c>
      <c r="C438" s="1" t="s">
        <v>2610</v>
      </c>
      <c r="E438" s="1" t="s">
        <v>2611</v>
      </c>
      <c r="F438" s="2" t="s">
        <v>2612</v>
      </c>
      <c r="G438" s="2" t="s">
        <v>2613</v>
      </c>
      <c r="H438" s="3" t="str">
        <f t="shared" si="1"/>
        <v>#NAME?</v>
      </c>
      <c r="I438" s="2" t="s">
        <v>2614</v>
      </c>
      <c r="J438" s="4" t="s">
        <v>2615</v>
      </c>
    </row>
    <row r="439">
      <c r="A439" s="1">
        <v>438.0</v>
      </c>
      <c r="B439" s="1" t="s">
        <v>2609</v>
      </c>
      <c r="C439" s="1" t="s">
        <v>2616</v>
      </c>
      <c r="E439" s="1" t="s">
        <v>2617</v>
      </c>
      <c r="F439" s="2" t="s">
        <v>2618</v>
      </c>
      <c r="G439" s="2" t="s">
        <v>2619</v>
      </c>
      <c r="H439" s="3" t="str">
        <f t="shared" si="1"/>
        <v>#NAME?</v>
      </c>
      <c r="I439" s="2" t="s">
        <v>2620</v>
      </c>
      <c r="J439" s="4" t="s">
        <v>2615</v>
      </c>
    </row>
    <row r="440">
      <c r="A440" s="1">
        <v>439.0</v>
      </c>
      <c r="B440" s="1" t="s">
        <v>2609</v>
      </c>
      <c r="C440" s="1" t="s">
        <v>2621</v>
      </c>
      <c r="E440" s="1" t="s">
        <v>2622</v>
      </c>
      <c r="F440" s="2" t="s">
        <v>2623</v>
      </c>
      <c r="G440" s="2" t="s">
        <v>2624</v>
      </c>
      <c r="H440" s="3" t="str">
        <f t="shared" si="1"/>
        <v>#NAME?</v>
      </c>
      <c r="I440" s="2" t="s">
        <v>2625</v>
      </c>
      <c r="J440" s="4" t="s">
        <v>2615</v>
      </c>
    </row>
    <row r="441">
      <c r="A441" s="1">
        <v>440.0</v>
      </c>
      <c r="B441" s="1" t="s">
        <v>2609</v>
      </c>
      <c r="C441" s="1" t="s">
        <v>2626</v>
      </c>
      <c r="E441" s="1" t="s">
        <v>2627</v>
      </c>
      <c r="F441" s="2" t="s">
        <v>2628</v>
      </c>
      <c r="G441" s="2" t="s">
        <v>2629</v>
      </c>
      <c r="H441" s="3" t="str">
        <f t="shared" si="1"/>
        <v>#NAME?</v>
      </c>
      <c r="I441" s="2" t="s">
        <v>2630</v>
      </c>
      <c r="J441" s="4" t="s">
        <v>2615</v>
      </c>
    </row>
    <row r="442">
      <c r="A442" s="1">
        <v>441.0</v>
      </c>
      <c r="B442" s="1" t="s">
        <v>2631</v>
      </c>
      <c r="C442" s="1" t="s">
        <v>2632</v>
      </c>
      <c r="E442" s="1" t="s">
        <v>2633</v>
      </c>
      <c r="F442" s="2" t="s">
        <v>2634</v>
      </c>
      <c r="G442" s="2" t="s">
        <v>2635</v>
      </c>
      <c r="H442" s="3" t="str">
        <f t="shared" si="1"/>
        <v>#NAME?</v>
      </c>
      <c r="I442" s="2" t="s">
        <v>2636</v>
      </c>
      <c r="J442" s="4" t="s">
        <v>2637</v>
      </c>
    </row>
    <row r="443">
      <c r="A443" s="1">
        <v>442.0</v>
      </c>
      <c r="B443" s="1" t="s">
        <v>2631</v>
      </c>
      <c r="C443" s="1" t="s">
        <v>2638</v>
      </c>
      <c r="E443" s="1" t="s">
        <v>2639</v>
      </c>
      <c r="F443" s="2" t="s">
        <v>2634</v>
      </c>
      <c r="G443" s="2" t="s">
        <v>2640</v>
      </c>
      <c r="H443" s="3" t="str">
        <f t="shared" si="1"/>
        <v>#NAME?</v>
      </c>
      <c r="I443" s="2" t="s">
        <v>2641</v>
      </c>
      <c r="J443" s="4" t="s">
        <v>2637</v>
      </c>
    </row>
    <row r="444">
      <c r="A444" s="1">
        <v>443.0</v>
      </c>
      <c r="B444" s="1" t="s">
        <v>2631</v>
      </c>
      <c r="C444" s="1" t="s">
        <v>2642</v>
      </c>
      <c r="E444" s="1" t="s">
        <v>2643</v>
      </c>
      <c r="F444" s="2" t="s">
        <v>2644</v>
      </c>
      <c r="G444" s="2" t="s">
        <v>2645</v>
      </c>
      <c r="H444" s="3" t="str">
        <f t="shared" si="1"/>
        <v>#NAME?</v>
      </c>
      <c r="I444" s="2" t="s">
        <v>2646</v>
      </c>
      <c r="J444" s="4" t="s">
        <v>2637</v>
      </c>
    </row>
    <row r="445">
      <c r="A445" s="1">
        <v>444.0</v>
      </c>
      <c r="B445" s="1" t="s">
        <v>2631</v>
      </c>
      <c r="C445" s="1" t="s">
        <v>2642</v>
      </c>
      <c r="E445" s="1" t="s">
        <v>2643</v>
      </c>
      <c r="F445" s="2" t="s">
        <v>2647</v>
      </c>
      <c r="G445" s="2" t="s">
        <v>2648</v>
      </c>
      <c r="H445" s="3" t="str">
        <f t="shared" si="1"/>
        <v>#NAME?</v>
      </c>
      <c r="I445" s="2" t="s">
        <v>2649</v>
      </c>
      <c r="J445" s="4" t="s">
        <v>2637</v>
      </c>
    </row>
    <row r="446">
      <c r="A446" s="1">
        <v>445.0</v>
      </c>
      <c r="B446" s="1" t="s">
        <v>2650</v>
      </c>
      <c r="C446" s="1" t="s">
        <v>2651</v>
      </c>
      <c r="E446" s="1" t="s">
        <v>2652</v>
      </c>
      <c r="F446" s="2" t="s">
        <v>2653</v>
      </c>
      <c r="G446" s="2" t="s">
        <v>2654</v>
      </c>
      <c r="H446" s="3" t="str">
        <f t="shared" si="1"/>
        <v>#NAME?</v>
      </c>
      <c r="I446" s="2" t="s">
        <v>2655</v>
      </c>
      <c r="J446" s="4" t="s">
        <v>2656</v>
      </c>
    </row>
    <row r="447">
      <c r="A447" s="1">
        <v>446.0</v>
      </c>
      <c r="B447" s="1" t="s">
        <v>2650</v>
      </c>
      <c r="C447" s="1" t="s">
        <v>2651</v>
      </c>
      <c r="E447" s="1" t="s">
        <v>2652</v>
      </c>
      <c r="F447" s="2" t="s">
        <v>2657</v>
      </c>
      <c r="G447" s="2" t="s">
        <v>2658</v>
      </c>
      <c r="H447" s="3" t="str">
        <f t="shared" si="1"/>
        <v>#NAME?</v>
      </c>
      <c r="I447" s="2" t="s">
        <v>2659</v>
      </c>
      <c r="J447" s="4" t="s">
        <v>2656</v>
      </c>
    </row>
    <row r="448">
      <c r="A448" s="1">
        <v>447.0</v>
      </c>
      <c r="B448" s="1" t="s">
        <v>2650</v>
      </c>
      <c r="C448" s="1" t="s">
        <v>2660</v>
      </c>
      <c r="E448" s="1" t="s">
        <v>2661</v>
      </c>
      <c r="F448" s="2" t="s">
        <v>394</v>
      </c>
      <c r="G448" s="2" t="s">
        <v>2662</v>
      </c>
      <c r="H448" s="3" t="str">
        <f t="shared" si="1"/>
        <v>#NAME?</v>
      </c>
      <c r="I448" s="2" t="s">
        <v>2663</v>
      </c>
      <c r="J448" s="4" t="s">
        <v>2656</v>
      </c>
    </row>
    <row r="449">
      <c r="A449" s="1">
        <v>448.0</v>
      </c>
      <c r="B449" s="1" t="s">
        <v>2664</v>
      </c>
      <c r="C449" s="1" t="s">
        <v>2665</v>
      </c>
      <c r="E449" s="1" t="s">
        <v>2666</v>
      </c>
      <c r="F449" s="2" t="s">
        <v>212</v>
      </c>
      <c r="G449" s="2" t="s">
        <v>2667</v>
      </c>
      <c r="H449" s="3" t="str">
        <f t="shared" si="1"/>
        <v>#NAME?</v>
      </c>
      <c r="I449" s="2" t="s">
        <v>2668</v>
      </c>
      <c r="J449" s="4" t="s">
        <v>2669</v>
      </c>
    </row>
    <row r="450">
      <c r="A450" s="1">
        <v>449.0</v>
      </c>
      <c r="B450" s="1" t="s">
        <v>2670</v>
      </c>
      <c r="C450" s="1" t="s">
        <v>2671</v>
      </c>
      <c r="E450" s="1" t="s">
        <v>2672</v>
      </c>
      <c r="F450" s="2" t="s">
        <v>2673</v>
      </c>
      <c r="G450" s="2" t="s">
        <v>2674</v>
      </c>
      <c r="H450" s="3" t="str">
        <f t="shared" si="1"/>
        <v>#NAME?</v>
      </c>
      <c r="I450" s="2" t="s">
        <v>2675</v>
      </c>
      <c r="J450" s="4" t="s">
        <v>2676</v>
      </c>
    </row>
    <row r="451">
      <c r="A451" s="1">
        <v>450.0</v>
      </c>
      <c r="B451" s="1" t="s">
        <v>2677</v>
      </c>
      <c r="C451" s="1" t="s">
        <v>2678</v>
      </c>
      <c r="E451" s="1" t="s">
        <v>2679</v>
      </c>
      <c r="F451" s="2" t="s">
        <v>2680</v>
      </c>
      <c r="G451" s="2" t="s">
        <v>2681</v>
      </c>
      <c r="H451" s="3" t="str">
        <f t="shared" si="1"/>
        <v>#NAME?</v>
      </c>
      <c r="I451" s="2" t="s">
        <v>2682</v>
      </c>
      <c r="J451" s="4" t="s">
        <v>2683</v>
      </c>
    </row>
    <row r="452">
      <c r="A452" s="1">
        <v>451.0</v>
      </c>
      <c r="B452" s="1" t="s">
        <v>2684</v>
      </c>
      <c r="C452" s="1" t="s">
        <v>2685</v>
      </c>
      <c r="E452" s="1" t="s">
        <v>2686</v>
      </c>
      <c r="F452" s="2" t="s">
        <v>2687</v>
      </c>
      <c r="G452" s="2" t="s">
        <v>2688</v>
      </c>
      <c r="H452" s="3" t="str">
        <f t="shared" si="1"/>
        <v>#NAME?</v>
      </c>
      <c r="I452" s="2" t="s">
        <v>2689</v>
      </c>
      <c r="J452" s="4" t="s">
        <v>2690</v>
      </c>
    </row>
    <row r="453">
      <c r="A453" s="1">
        <v>452.0</v>
      </c>
      <c r="B453" s="1" t="s">
        <v>2691</v>
      </c>
      <c r="C453" s="1" t="s">
        <v>2692</v>
      </c>
      <c r="E453" s="1" t="s">
        <v>2693</v>
      </c>
      <c r="F453" s="2" t="s">
        <v>2694</v>
      </c>
      <c r="G453" s="2" t="s">
        <v>2695</v>
      </c>
      <c r="H453" s="3" t="str">
        <f t="shared" si="1"/>
        <v>#NAME?</v>
      </c>
      <c r="I453" s="2" t="s">
        <v>2696</v>
      </c>
      <c r="J453" s="4" t="s">
        <v>2697</v>
      </c>
    </row>
    <row r="454">
      <c r="A454" s="1">
        <v>453.0</v>
      </c>
      <c r="B454" s="1" t="s">
        <v>2698</v>
      </c>
      <c r="C454" s="1" t="s">
        <v>2699</v>
      </c>
      <c r="E454" s="1" t="s">
        <v>2700</v>
      </c>
      <c r="F454" s="2" t="s">
        <v>2701</v>
      </c>
      <c r="G454" s="2" t="s">
        <v>2702</v>
      </c>
      <c r="H454" s="3" t="str">
        <f t="shared" si="1"/>
        <v>#NAME?</v>
      </c>
      <c r="I454" s="2" t="s">
        <v>2703</v>
      </c>
      <c r="J454" s="4" t="s">
        <v>2704</v>
      </c>
    </row>
    <row r="455">
      <c r="A455" s="1">
        <v>454.0</v>
      </c>
      <c r="B455" s="1" t="s">
        <v>2705</v>
      </c>
      <c r="C455" s="1" t="s">
        <v>2706</v>
      </c>
      <c r="E455" s="1" t="s">
        <v>2707</v>
      </c>
      <c r="F455" s="2" t="s">
        <v>2708</v>
      </c>
      <c r="G455" s="2" t="s">
        <v>2709</v>
      </c>
      <c r="H455" s="3" t="str">
        <f t="shared" si="1"/>
        <v>#NAME?</v>
      </c>
      <c r="I455" s="2" t="s">
        <v>2710</v>
      </c>
      <c r="J455" s="4" t="s">
        <v>2711</v>
      </c>
    </row>
    <row r="456">
      <c r="A456" s="1">
        <v>455.0</v>
      </c>
      <c r="B456" s="1" t="s">
        <v>2705</v>
      </c>
      <c r="C456" s="1" t="s">
        <v>2712</v>
      </c>
      <c r="E456" s="1" t="s">
        <v>2713</v>
      </c>
      <c r="F456" s="2" t="s">
        <v>2714</v>
      </c>
      <c r="G456" s="2" t="s">
        <v>2715</v>
      </c>
      <c r="H456" s="3" t="str">
        <f t="shared" si="1"/>
        <v>#NAME?</v>
      </c>
      <c r="I456" s="2" t="s">
        <v>2716</v>
      </c>
      <c r="J456" s="4" t="s">
        <v>2711</v>
      </c>
    </row>
    <row r="457">
      <c r="A457" s="1">
        <v>456.0</v>
      </c>
      <c r="B457" s="1" t="s">
        <v>2705</v>
      </c>
      <c r="C457" s="1" t="s">
        <v>2717</v>
      </c>
      <c r="E457" s="1" t="s">
        <v>2718</v>
      </c>
      <c r="F457" s="2" t="s">
        <v>2719</v>
      </c>
      <c r="G457" s="2" t="s">
        <v>2720</v>
      </c>
      <c r="H457" s="3" t="str">
        <f t="shared" si="1"/>
        <v>#NAME?</v>
      </c>
      <c r="I457" s="2" t="s">
        <v>2721</v>
      </c>
      <c r="J457" s="4" t="s">
        <v>2711</v>
      </c>
    </row>
    <row r="458">
      <c r="A458" s="1">
        <v>457.0</v>
      </c>
      <c r="B458" s="1" t="s">
        <v>2722</v>
      </c>
      <c r="C458" s="1" t="s">
        <v>2723</v>
      </c>
      <c r="E458" s="1" t="s">
        <v>2724</v>
      </c>
      <c r="F458" s="2" t="s">
        <v>2725</v>
      </c>
      <c r="G458" s="2" t="s">
        <v>2726</v>
      </c>
      <c r="H458" s="3" t="str">
        <f t="shared" si="1"/>
        <v>#NAME?</v>
      </c>
      <c r="I458" s="2" t="s">
        <v>2727</v>
      </c>
      <c r="J458" s="4" t="s">
        <v>2728</v>
      </c>
    </row>
    <row r="459">
      <c r="A459" s="1">
        <v>458.0</v>
      </c>
      <c r="B459" s="1" t="s">
        <v>2729</v>
      </c>
      <c r="C459" s="1" t="s">
        <v>2730</v>
      </c>
      <c r="E459" s="1" t="s">
        <v>2731</v>
      </c>
      <c r="F459" s="2" t="s">
        <v>1949</v>
      </c>
      <c r="G459" s="2" t="s">
        <v>2732</v>
      </c>
      <c r="H459" s="3" t="str">
        <f t="shared" si="1"/>
        <v>#NAME?</v>
      </c>
      <c r="I459" s="2" t="s">
        <v>2733</v>
      </c>
      <c r="J459" s="4" t="s">
        <v>2734</v>
      </c>
    </row>
    <row r="460">
      <c r="A460" s="1">
        <v>459.0</v>
      </c>
      <c r="B460" s="1" t="s">
        <v>2735</v>
      </c>
      <c r="C460" s="1" t="s">
        <v>2736</v>
      </c>
      <c r="E460" s="1" t="s">
        <v>2737</v>
      </c>
      <c r="F460" s="2" t="s">
        <v>2738</v>
      </c>
      <c r="G460" s="2" t="s">
        <v>2739</v>
      </c>
      <c r="H460" s="3" t="str">
        <f t="shared" si="1"/>
        <v>#NAME?</v>
      </c>
      <c r="I460" s="2" t="s">
        <v>2740</v>
      </c>
      <c r="J460" s="4" t="s">
        <v>2741</v>
      </c>
    </row>
    <row r="461">
      <c r="A461" s="1">
        <v>460.0</v>
      </c>
      <c r="B461" s="1" t="s">
        <v>2742</v>
      </c>
      <c r="C461" s="1" t="s">
        <v>2743</v>
      </c>
      <c r="E461" s="1" t="s">
        <v>2744</v>
      </c>
      <c r="F461" s="2" t="s">
        <v>2745</v>
      </c>
      <c r="G461" s="2" t="s">
        <v>2746</v>
      </c>
      <c r="H461" s="3" t="str">
        <f t="shared" si="1"/>
        <v>#NAME?</v>
      </c>
      <c r="I461" s="2" t="s">
        <v>2747</v>
      </c>
      <c r="J461" s="4" t="s">
        <v>2748</v>
      </c>
    </row>
    <row r="462">
      <c r="A462" s="1">
        <v>461.0</v>
      </c>
      <c r="B462" s="1" t="s">
        <v>2749</v>
      </c>
      <c r="C462" s="1" t="s">
        <v>2750</v>
      </c>
      <c r="E462" s="1" t="s">
        <v>2751</v>
      </c>
      <c r="F462" s="2" t="s">
        <v>2752</v>
      </c>
      <c r="G462" s="2" t="s">
        <v>2753</v>
      </c>
      <c r="H462" s="3" t="str">
        <f t="shared" si="1"/>
        <v>#NAME?</v>
      </c>
      <c r="I462" s="2" t="s">
        <v>2754</v>
      </c>
      <c r="J462" s="4" t="s">
        <v>2755</v>
      </c>
    </row>
    <row r="463">
      <c r="A463" s="1">
        <v>462.0</v>
      </c>
      <c r="B463" s="1" t="s">
        <v>2756</v>
      </c>
      <c r="C463" s="1" t="s">
        <v>2757</v>
      </c>
      <c r="E463" s="1" t="s">
        <v>2758</v>
      </c>
      <c r="F463" s="2" t="s">
        <v>2759</v>
      </c>
      <c r="G463" s="2" t="s">
        <v>2760</v>
      </c>
      <c r="H463" s="3" t="str">
        <f t="shared" si="1"/>
        <v>#NAME?</v>
      </c>
      <c r="I463" s="2" t="s">
        <v>2761</v>
      </c>
      <c r="J463" s="4" t="s">
        <v>2762</v>
      </c>
    </row>
    <row r="464">
      <c r="A464" s="1">
        <v>463.0</v>
      </c>
      <c r="B464" s="1" t="s">
        <v>2756</v>
      </c>
      <c r="C464" s="1" t="s">
        <v>2763</v>
      </c>
      <c r="E464" s="1" t="s">
        <v>2764</v>
      </c>
      <c r="F464" s="2" t="s">
        <v>2714</v>
      </c>
      <c r="G464" s="2" t="s">
        <v>2765</v>
      </c>
      <c r="H464" s="3" t="str">
        <f t="shared" si="1"/>
        <v>#NAME?</v>
      </c>
      <c r="I464" s="2" t="s">
        <v>2766</v>
      </c>
      <c r="J464" s="4" t="s">
        <v>2762</v>
      </c>
    </row>
    <row r="465">
      <c r="A465" s="1">
        <v>464.0</v>
      </c>
      <c r="B465" s="1" t="s">
        <v>2767</v>
      </c>
      <c r="C465" s="1" t="s">
        <v>2768</v>
      </c>
      <c r="E465" s="1" t="s">
        <v>2769</v>
      </c>
      <c r="F465" s="2" t="s">
        <v>2770</v>
      </c>
      <c r="G465" s="2" t="s">
        <v>2771</v>
      </c>
      <c r="H465" s="3" t="str">
        <f t="shared" si="1"/>
        <v>#NAME?</v>
      </c>
      <c r="I465" s="2" t="s">
        <v>2772</v>
      </c>
      <c r="J465" s="4" t="s">
        <v>2773</v>
      </c>
    </row>
    <row r="466">
      <c r="A466" s="1">
        <v>465.0</v>
      </c>
      <c r="B466" s="1" t="s">
        <v>2767</v>
      </c>
      <c r="C466" s="1" t="s">
        <v>2774</v>
      </c>
      <c r="E466" s="1" t="s">
        <v>2775</v>
      </c>
      <c r="F466" s="2" t="s">
        <v>2776</v>
      </c>
      <c r="G466" s="2" t="s">
        <v>2777</v>
      </c>
      <c r="H466" s="3" t="str">
        <f t="shared" si="1"/>
        <v>#NAME?</v>
      </c>
      <c r="I466" s="2" t="s">
        <v>2778</v>
      </c>
      <c r="J466" s="4" t="s">
        <v>2773</v>
      </c>
    </row>
    <row r="467">
      <c r="A467" s="1">
        <v>466.0</v>
      </c>
      <c r="B467" s="1" t="s">
        <v>2779</v>
      </c>
      <c r="C467" s="1" t="s">
        <v>2780</v>
      </c>
      <c r="E467" s="1" t="s">
        <v>2781</v>
      </c>
      <c r="F467" s="2" t="s">
        <v>2782</v>
      </c>
      <c r="G467" s="2" t="s">
        <v>2783</v>
      </c>
      <c r="H467" s="3" t="str">
        <f t="shared" si="1"/>
        <v>#NAME?</v>
      </c>
      <c r="I467" s="2" t="s">
        <v>2784</v>
      </c>
      <c r="J467" s="4" t="s">
        <v>2785</v>
      </c>
    </row>
    <row r="468">
      <c r="A468" s="1">
        <v>467.0</v>
      </c>
      <c r="B468" s="1" t="s">
        <v>2779</v>
      </c>
      <c r="C468" s="1" t="s">
        <v>2780</v>
      </c>
      <c r="E468" s="1" t="s">
        <v>2781</v>
      </c>
      <c r="F468" s="2" t="s">
        <v>2786</v>
      </c>
      <c r="G468" s="2" t="s">
        <v>2787</v>
      </c>
      <c r="H468" s="3" t="str">
        <f t="shared" si="1"/>
        <v>#NAME?</v>
      </c>
      <c r="I468" s="2" t="s">
        <v>2788</v>
      </c>
      <c r="J468" s="4" t="s">
        <v>2785</v>
      </c>
    </row>
    <row r="469">
      <c r="A469" s="1">
        <v>468.0</v>
      </c>
      <c r="B469" s="1" t="s">
        <v>2779</v>
      </c>
      <c r="C469" s="1" t="s">
        <v>2789</v>
      </c>
      <c r="E469" s="1" t="s">
        <v>2790</v>
      </c>
      <c r="F469" s="2" t="s">
        <v>2791</v>
      </c>
      <c r="G469" s="2" t="s">
        <v>2792</v>
      </c>
      <c r="H469" s="3" t="str">
        <f t="shared" si="1"/>
        <v>#NAME?</v>
      </c>
      <c r="I469" s="2" t="s">
        <v>2793</v>
      </c>
      <c r="J469" s="4" t="s">
        <v>2785</v>
      </c>
    </row>
    <row r="470">
      <c r="A470" s="1">
        <v>469.0</v>
      </c>
      <c r="B470" s="1" t="s">
        <v>2794</v>
      </c>
      <c r="C470" s="1" t="s">
        <v>1915</v>
      </c>
      <c r="E470" s="1" t="s">
        <v>1916</v>
      </c>
      <c r="F470" s="2" t="s">
        <v>2795</v>
      </c>
      <c r="G470" s="2" t="s">
        <v>1426</v>
      </c>
      <c r="H470" s="3" t="str">
        <f t="shared" si="1"/>
        <v>#NAME?</v>
      </c>
      <c r="I470" s="2" t="s">
        <v>1426</v>
      </c>
      <c r="J470" s="4" t="s">
        <v>2796</v>
      </c>
    </row>
    <row r="471">
      <c r="A471" s="1">
        <v>470.0</v>
      </c>
      <c r="B471" s="1" t="s">
        <v>2797</v>
      </c>
      <c r="C471" s="1" t="s">
        <v>2798</v>
      </c>
      <c r="E471" s="1" t="s">
        <v>2799</v>
      </c>
      <c r="F471" s="2" t="s">
        <v>2800</v>
      </c>
      <c r="G471" s="2" t="s">
        <v>2801</v>
      </c>
      <c r="H471" s="3" t="str">
        <f t="shared" si="1"/>
        <v>#NAME?</v>
      </c>
      <c r="I471" s="2" t="s">
        <v>2802</v>
      </c>
      <c r="J471" s="4" t="s">
        <v>2803</v>
      </c>
    </row>
    <row r="472">
      <c r="A472" s="1">
        <v>471.0</v>
      </c>
      <c r="B472" s="1" t="s">
        <v>2797</v>
      </c>
      <c r="C472" s="1" t="s">
        <v>2798</v>
      </c>
      <c r="E472" s="1" t="s">
        <v>2799</v>
      </c>
      <c r="F472" s="2" t="s">
        <v>2804</v>
      </c>
      <c r="G472" s="2" t="s">
        <v>2805</v>
      </c>
      <c r="H472" s="3" t="str">
        <f t="shared" si="1"/>
        <v>#NAME?</v>
      </c>
      <c r="I472" s="2" t="s">
        <v>2806</v>
      </c>
      <c r="J472" s="4" t="s">
        <v>2803</v>
      </c>
    </row>
    <row r="473">
      <c r="A473" s="1">
        <v>472.0</v>
      </c>
      <c r="B473" s="1" t="s">
        <v>2807</v>
      </c>
      <c r="C473" s="1" t="s">
        <v>2808</v>
      </c>
      <c r="E473" s="1" t="s">
        <v>2809</v>
      </c>
      <c r="F473" s="2" t="s">
        <v>2810</v>
      </c>
      <c r="G473" s="2" t="s">
        <v>2811</v>
      </c>
      <c r="H473" s="3" t="str">
        <f t="shared" si="1"/>
        <v>#NAME?</v>
      </c>
      <c r="I473" s="2" t="s">
        <v>2812</v>
      </c>
      <c r="J473" s="4" t="s">
        <v>2813</v>
      </c>
    </row>
    <row r="474">
      <c r="A474" s="1">
        <v>473.0</v>
      </c>
      <c r="B474" s="1" t="s">
        <v>2814</v>
      </c>
      <c r="C474" s="1" t="s">
        <v>2815</v>
      </c>
      <c r="E474" s="1" t="s">
        <v>2816</v>
      </c>
      <c r="F474" s="2" t="s">
        <v>2817</v>
      </c>
      <c r="G474" s="2" t="s">
        <v>2818</v>
      </c>
      <c r="H474" s="3" t="str">
        <f t="shared" si="1"/>
        <v>#NAME?</v>
      </c>
      <c r="I474" s="2" t="s">
        <v>2819</v>
      </c>
      <c r="J474" s="4" t="s">
        <v>2820</v>
      </c>
    </row>
    <row r="475">
      <c r="A475" s="1">
        <v>474.0</v>
      </c>
      <c r="B475" s="1" t="s">
        <v>2821</v>
      </c>
      <c r="C475" s="1" t="s">
        <v>2822</v>
      </c>
      <c r="E475" s="1" t="s">
        <v>2823</v>
      </c>
      <c r="F475" s="2" t="s">
        <v>2824</v>
      </c>
      <c r="G475" s="2" t="s">
        <v>2825</v>
      </c>
      <c r="H475" s="3" t="str">
        <f t="shared" si="1"/>
        <v>#NAME?</v>
      </c>
      <c r="I475" s="2" t="s">
        <v>2826</v>
      </c>
      <c r="J475" s="4" t="s">
        <v>2827</v>
      </c>
    </row>
    <row r="476">
      <c r="A476" s="1">
        <v>475.0</v>
      </c>
      <c r="B476" s="1" t="s">
        <v>2828</v>
      </c>
      <c r="C476" s="1" t="s">
        <v>2829</v>
      </c>
      <c r="E476" s="1" t="s">
        <v>2830</v>
      </c>
      <c r="F476" s="2" t="s">
        <v>2831</v>
      </c>
      <c r="G476" s="2" t="s">
        <v>2832</v>
      </c>
      <c r="H476" s="3" t="str">
        <f t="shared" si="1"/>
        <v>#NAME?</v>
      </c>
      <c r="I476" s="2" t="s">
        <v>2833</v>
      </c>
      <c r="J476" s="4" t="s">
        <v>2834</v>
      </c>
    </row>
    <row r="477">
      <c r="A477" s="1">
        <v>476.0</v>
      </c>
      <c r="B477" s="1" t="s">
        <v>2835</v>
      </c>
      <c r="C477" s="1" t="s">
        <v>2836</v>
      </c>
      <c r="E477" s="1" t="s">
        <v>2837</v>
      </c>
      <c r="F477" s="2" t="s">
        <v>2447</v>
      </c>
      <c r="G477" s="2" t="s">
        <v>2838</v>
      </c>
      <c r="H477" s="3" t="str">
        <f t="shared" si="1"/>
        <v>#NAME?</v>
      </c>
      <c r="I477" s="2" t="s">
        <v>2839</v>
      </c>
      <c r="J477" s="4" t="s">
        <v>2840</v>
      </c>
    </row>
    <row r="478">
      <c r="A478" s="1">
        <v>477.0</v>
      </c>
      <c r="B478" s="1" t="s">
        <v>2841</v>
      </c>
      <c r="C478" s="1" t="s">
        <v>2842</v>
      </c>
      <c r="E478" s="1" t="s">
        <v>2843</v>
      </c>
      <c r="F478" s="2" t="s">
        <v>2844</v>
      </c>
      <c r="G478" s="2" t="s">
        <v>2845</v>
      </c>
      <c r="H478" s="3" t="str">
        <f t="shared" si="1"/>
        <v>#NAME?</v>
      </c>
      <c r="I478" s="2" t="s">
        <v>2846</v>
      </c>
      <c r="J478" s="4" t="s">
        <v>2847</v>
      </c>
    </row>
    <row r="479">
      <c r="A479" s="1">
        <v>478.0</v>
      </c>
      <c r="B479" s="1" t="s">
        <v>2841</v>
      </c>
      <c r="C479" s="1" t="s">
        <v>2842</v>
      </c>
      <c r="E479" s="1" t="s">
        <v>2843</v>
      </c>
      <c r="F479" s="2" t="s">
        <v>2848</v>
      </c>
      <c r="G479" s="2" t="s">
        <v>2849</v>
      </c>
      <c r="H479" s="3" t="str">
        <f t="shared" si="1"/>
        <v>#NAME?</v>
      </c>
      <c r="I479" s="2" t="s">
        <v>2850</v>
      </c>
      <c r="J479" s="4" t="s">
        <v>2847</v>
      </c>
    </row>
    <row r="480">
      <c r="A480" s="1">
        <v>479.0</v>
      </c>
      <c r="B480" s="1" t="s">
        <v>2851</v>
      </c>
      <c r="C480" s="1" t="s">
        <v>2852</v>
      </c>
      <c r="E480" s="1" t="s">
        <v>2853</v>
      </c>
      <c r="F480" s="2" t="s">
        <v>2854</v>
      </c>
      <c r="G480" s="2" t="s">
        <v>2855</v>
      </c>
      <c r="H480" s="3" t="str">
        <f t="shared" si="1"/>
        <v>#NAME?</v>
      </c>
      <c r="I480" s="2" t="s">
        <v>2856</v>
      </c>
      <c r="J480" s="4" t="s">
        <v>2857</v>
      </c>
    </row>
    <row r="481">
      <c r="A481" s="1">
        <v>480.0</v>
      </c>
      <c r="B481" s="1" t="s">
        <v>2858</v>
      </c>
      <c r="C481" s="1" t="s">
        <v>2859</v>
      </c>
      <c r="E481" s="1" t="s">
        <v>2860</v>
      </c>
      <c r="F481" s="2" t="s">
        <v>2861</v>
      </c>
      <c r="G481" s="2" t="s">
        <v>2862</v>
      </c>
      <c r="H481" s="3" t="str">
        <f t="shared" si="1"/>
        <v>#NAME?</v>
      </c>
      <c r="I481" s="2" t="s">
        <v>2863</v>
      </c>
      <c r="J481" s="4" t="s">
        <v>2864</v>
      </c>
    </row>
    <row r="482">
      <c r="A482" s="1">
        <v>481.0</v>
      </c>
      <c r="B482" s="1" t="s">
        <v>2858</v>
      </c>
      <c r="C482" s="1" t="s">
        <v>2865</v>
      </c>
      <c r="E482" s="1" t="s">
        <v>2866</v>
      </c>
      <c r="F482" s="2" t="s">
        <v>2867</v>
      </c>
      <c r="G482" s="2" t="s">
        <v>2868</v>
      </c>
      <c r="H482" s="3" t="str">
        <f t="shared" si="1"/>
        <v>#NAME?</v>
      </c>
      <c r="I482" s="2" t="s">
        <v>2869</v>
      </c>
      <c r="J482" s="4" t="s">
        <v>2864</v>
      </c>
    </row>
    <row r="483">
      <c r="A483" s="1">
        <v>482.0</v>
      </c>
      <c r="B483" s="1" t="s">
        <v>2870</v>
      </c>
      <c r="C483" s="1" t="s">
        <v>2871</v>
      </c>
      <c r="E483" s="1" t="s">
        <v>2872</v>
      </c>
      <c r="F483" s="2" t="s">
        <v>2873</v>
      </c>
      <c r="G483" s="2" t="s">
        <v>2874</v>
      </c>
      <c r="H483" s="3" t="str">
        <f t="shared" si="1"/>
        <v>#NAME?</v>
      </c>
      <c r="I483" s="2" t="s">
        <v>2875</v>
      </c>
      <c r="J483" s="4" t="s">
        <v>2876</v>
      </c>
    </row>
    <row r="484">
      <c r="A484" s="1">
        <v>483.0</v>
      </c>
      <c r="B484" s="1" t="s">
        <v>2870</v>
      </c>
      <c r="C484" s="1" t="s">
        <v>2871</v>
      </c>
      <c r="E484" s="1" t="s">
        <v>2872</v>
      </c>
      <c r="F484" s="2" t="s">
        <v>2877</v>
      </c>
      <c r="G484" s="2" t="s">
        <v>2878</v>
      </c>
      <c r="H484" s="3" t="str">
        <f t="shared" si="1"/>
        <v>#NAME?</v>
      </c>
      <c r="I484" s="2" t="s">
        <v>2879</v>
      </c>
      <c r="J484" s="4" t="s">
        <v>2876</v>
      </c>
    </row>
    <row r="485">
      <c r="A485" s="1">
        <v>484.0</v>
      </c>
      <c r="B485" s="1" t="s">
        <v>2880</v>
      </c>
      <c r="C485" s="1" t="s">
        <v>2881</v>
      </c>
      <c r="E485" s="1" t="s">
        <v>2882</v>
      </c>
      <c r="F485" s="2" t="s">
        <v>2883</v>
      </c>
      <c r="G485" s="2" t="s">
        <v>2884</v>
      </c>
      <c r="H485" s="3" t="str">
        <f t="shared" si="1"/>
        <v>#NAME?</v>
      </c>
      <c r="I485" s="2" t="s">
        <v>2885</v>
      </c>
      <c r="J485" s="4" t="s">
        <v>2886</v>
      </c>
    </row>
    <row r="486">
      <c r="A486" s="1">
        <v>485.0</v>
      </c>
      <c r="B486" s="1" t="s">
        <v>2887</v>
      </c>
      <c r="C486" s="1" t="s">
        <v>2888</v>
      </c>
      <c r="E486" s="1" t="s">
        <v>2889</v>
      </c>
      <c r="F486" s="2" t="s">
        <v>2890</v>
      </c>
      <c r="G486" s="2" t="s">
        <v>2891</v>
      </c>
      <c r="H486" s="3" t="str">
        <f t="shared" si="1"/>
        <v>#NAME?</v>
      </c>
      <c r="I486" s="2" t="s">
        <v>2892</v>
      </c>
      <c r="J486" s="4" t="s">
        <v>2893</v>
      </c>
    </row>
    <row r="487">
      <c r="A487" s="1">
        <v>486.0</v>
      </c>
      <c r="B487" s="1" t="s">
        <v>2887</v>
      </c>
      <c r="C487" s="1" t="s">
        <v>2888</v>
      </c>
      <c r="E487" s="1" t="s">
        <v>2889</v>
      </c>
      <c r="F487" s="2" t="s">
        <v>2894</v>
      </c>
      <c r="G487" s="2" t="s">
        <v>2895</v>
      </c>
      <c r="H487" s="3" t="str">
        <f t="shared" si="1"/>
        <v>#NAME?</v>
      </c>
      <c r="I487" s="2" t="s">
        <v>2896</v>
      </c>
      <c r="J487" s="4" t="s">
        <v>2893</v>
      </c>
    </row>
    <row r="488">
      <c r="A488" s="1">
        <v>487.0</v>
      </c>
      <c r="B488" s="1" t="s">
        <v>2897</v>
      </c>
      <c r="C488" s="1" t="s">
        <v>2898</v>
      </c>
      <c r="E488" s="1" t="s">
        <v>2899</v>
      </c>
      <c r="F488" s="2" t="s">
        <v>2900</v>
      </c>
      <c r="G488" s="2" t="s">
        <v>2901</v>
      </c>
      <c r="H488" s="3" t="str">
        <f t="shared" si="1"/>
        <v>#NAME?</v>
      </c>
      <c r="I488" s="2" t="s">
        <v>2902</v>
      </c>
      <c r="J488" s="4" t="s">
        <v>2903</v>
      </c>
    </row>
    <row r="489">
      <c r="A489" s="1">
        <v>488.0</v>
      </c>
      <c r="B489" s="1" t="s">
        <v>2897</v>
      </c>
      <c r="C489" s="1" t="s">
        <v>2904</v>
      </c>
      <c r="E489" s="1" t="s">
        <v>2905</v>
      </c>
      <c r="F489" s="2" t="s">
        <v>1856</v>
      </c>
      <c r="G489" s="2" t="s">
        <v>2906</v>
      </c>
      <c r="H489" s="3" t="str">
        <f t="shared" si="1"/>
        <v>#NAME?</v>
      </c>
      <c r="I489" s="2" t="s">
        <v>2907</v>
      </c>
      <c r="J489" s="4" t="s">
        <v>2903</v>
      </c>
    </row>
    <row r="490">
      <c r="A490" s="1">
        <v>489.0</v>
      </c>
      <c r="B490" s="1" t="s">
        <v>2908</v>
      </c>
      <c r="C490" s="1" t="s">
        <v>2909</v>
      </c>
      <c r="E490" s="1" t="s">
        <v>2910</v>
      </c>
      <c r="F490" s="2" t="s">
        <v>2911</v>
      </c>
      <c r="G490" s="2" t="s">
        <v>2912</v>
      </c>
      <c r="H490" s="3" t="str">
        <f t="shared" si="1"/>
        <v>#NAME?</v>
      </c>
      <c r="I490" s="2" t="s">
        <v>2913</v>
      </c>
      <c r="J490" s="4" t="s">
        <v>2914</v>
      </c>
    </row>
    <row r="491">
      <c r="A491" s="1">
        <v>490.0</v>
      </c>
      <c r="B491" s="1" t="s">
        <v>2915</v>
      </c>
      <c r="C491" s="1" t="s">
        <v>2916</v>
      </c>
      <c r="E491" s="1" t="s">
        <v>2917</v>
      </c>
      <c r="F491" s="2" t="s">
        <v>2918</v>
      </c>
      <c r="G491" s="2" t="s">
        <v>2919</v>
      </c>
      <c r="H491" s="3" t="str">
        <f t="shared" si="1"/>
        <v>#NAME?</v>
      </c>
      <c r="I491" s="2" t="s">
        <v>2920</v>
      </c>
      <c r="J491" s="4" t="s">
        <v>2921</v>
      </c>
    </row>
    <row r="492">
      <c r="A492" s="1">
        <v>491.0</v>
      </c>
      <c r="B492" s="1" t="s">
        <v>2922</v>
      </c>
      <c r="C492" s="1" t="s">
        <v>2923</v>
      </c>
      <c r="E492" s="1" t="s">
        <v>2924</v>
      </c>
      <c r="F492" s="2" t="s">
        <v>2925</v>
      </c>
      <c r="G492" s="2" t="s">
        <v>2926</v>
      </c>
      <c r="H492" s="3" t="str">
        <f t="shared" si="1"/>
        <v>#NAME?</v>
      </c>
      <c r="I492" s="2" t="s">
        <v>2927</v>
      </c>
      <c r="J492" s="4" t="s">
        <v>2928</v>
      </c>
    </row>
    <row r="493">
      <c r="A493" s="1">
        <v>492.0</v>
      </c>
      <c r="B493" s="1" t="s">
        <v>2929</v>
      </c>
      <c r="C493" s="1" t="s">
        <v>2930</v>
      </c>
      <c r="E493" s="1" t="s">
        <v>2931</v>
      </c>
      <c r="F493" s="2" t="s">
        <v>2932</v>
      </c>
      <c r="G493" s="2" t="s">
        <v>2933</v>
      </c>
      <c r="H493" s="3" t="str">
        <f t="shared" si="1"/>
        <v>#NAME?</v>
      </c>
      <c r="I493" s="2" t="s">
        <v>2934</v>
      </c>
      <c r="J493" s="4" t="s">
        <v>2935</v>
      </c>
    </row>
    <row r="494">
      <c r="A494" s="1">
        <v>493.0</v>
      </c>
      <c r="B494" s="1" t="s">
        <v>2936</v>
      </c>
      <c r="C494" s="1" t="s">
        <v>2937</v>
      </c>
      <c r="E494" s="1" t="s">
        <v>2938</v>
      </c>
      <c r="F494" s="2" t="s">
        <v>2939</v>
      </c>
      <c r="G494" s="2" t="s">
        <v>2940</v>
      </c>
      <c r="H494" s="3" t="str">
        <f t="shared" si="1"/>
        <v>#NAME?</v>
      </c>
      <c r="I494" s="2" t="s">
        <v>2941</v>
      </c>
      <c r="J494" s="4" t="s">
        <v>2942</v>
      </c>
    </row>
    <row r="495">
      <c r="A495" s="1">
        <v>494.0</v>
      </c>
      <c r="B495" s="1" t="s">
        <v>2936</v>
      </c>
      <c r="C495" s="1" t="s">
        <v>2943</v>
      </c>
      <c r="E495" s="1" t="s">
        <v>2944</v>
      </c>
      <c r="F495" s="2" t="s">
        <v>2945</v>
      </c>
      <c r="G495" s="2" t="s">
        <v>2946</v>
      </c>
      <c r="H495" s="3" t="str">
        <f t="shared" si="1"/>
        <v>#NAME?</v>
      </c>
      <c r="I495" s="2" t="s">
        <v>2947</v>
      </c>
      <c r="J495" s="4" t="s">
        <v>2942</v>
      </c>
    </row>
    <row r="496">
      <c r="A496" s="1">
        <v>495.0</v>
      </c>
      <c r="B496" s="1" t="s">
        <v>2948</v>
      </c>
      <c r="C496" s="1" t="s">
        <v>2949</v>
      </c>
      <c r="E496" s="1" t="s">
        <v>2950</v>
      </c>
      <c r="F496" s="2" t="s">
        <v>1457</v>
      </c>
      <c r="G496" s="2" t="s">
        <v>2951</v>
      </c>
      <c r="H496" s="3" t="str">
        <f t="shared" si="1"/>
        <v>#NAME?</v>
      </c>
      <c r="I496" s="2" t="s">
        <v>2952</v>
      </c>
      <c r="J496" s="4" t="s">
        <v>2953</v>
      </c>
    </row>
    <row r="497">
      <c r="A497" s="1">
        <v>496.0</v>
      </c>
      <c r="B497" s="1" t="s">
        <v>2948</v>
      </c>
      <c r="C497" s="1" t="s">
        <v>2954</v>
      </c>
      <c r="E497" s="1" t="s">
        <v>2955</v>
      </c>
      <c r="F497" s="2" t="s">
        <v>2956</v>
      </c>
      <c r="G497" s="2" t="s">
        <v>2957</v>
      </c>
      <c r="H497" s="3" t="str">
        <f t="shared" si="1"/>
        <v>#NAME?</v>
      </c>
      <c r="I497" s="2" t="s">
        <v>2958</v>
      </c>
      <c r="J497" s="4" t="s">
        <v>2953</v>
      </c>
    </row>
    <row r="498">
      <c r="A498" s="1">
        <v>497.0</v>
      </c>
      <c r="B498" s="1" t="s">
        <v>2948</v>
      </c>
      <c r="C498" s="1" t="s">
        <v>2959</v>
      </c>
      <c r="E498" s="1" t="s">
        <v>2960</v>
      </c>
      <c r="F498" s="2" t="s">
        <v>2961</v>
      </c>
      <c r="G498" s="2" t="s">
        <v>2962</v>
      </c>
      <c r="H498" s="3" t="str">
        <f t="shared" si="1"/>
        <v>#NAME?</v>
      </c>
      <c r="I498" s="2" t="s">
        <v>2963</v>
      </c>
      <c r="J498" s="4" t="s">
        <v>2953</v>
      </c>
    </row>
    <row r="499">
      <c r="A499" s="1">
        <v>498.0</v>
      </c>
      <c r="B499" s="1" t="s">
        <v>2964</v>
      </c>
      <c r="C499" s="1" t="s">
        <v>2965</v>
      </c>
      <c r="E499" s="1" t="s">
        <v>2966</v>
      </c>
      <c r="F499" s="2" t="s">
        <v>2967</v>
      </c>
      <c r="G499" s="2" t="s">
        <v>2968</v>
      </c>
      <c r="H499" s="3" t="str">
        <f t="shared" si="1"/>
        <v>#NAME?</v>
      </c>
      <c r="I499" s="2" t="s">
        <v>2969</v>
      </c>
      <c r="J499" s="4" t="s">
        <v>2970</v>
      </c>
    </row>
    <row r="500">
      <c r="A500" s="1">
        <v>499.0</v>
      </c>
      <c r="B500" s="1" t="s">
        <v>2971</v>
      </c>
      <c r="C500" s="1" t="s">
        <v>2972</v>
      </c>
      <c r="E500" s="1" t="s">
        <v>2973</v>
      </c>
      <c r="F500" s="2" t="s">
        <v>2974</v>
      </c>
      <c r="G500" s="2" t="s">
        <v>2975</v>
      </c>
      <c r="H500" s="3" t="str">
        <f t="shared" si="1"/>
        <v>#NAME?</v>
      </c>
      <c r="I500" s="2" t="s">
        <v>2976</v>
      </c>
      <c r="J500" s="4" t="s">
        <v>2977</v>
      </c>
    </row>
    <row r="501">
      <c r="A501" s="1">
        <v>500.0</v>
      </c>
      <c r="B501" s="1" t="s">
        <v>2971</v>
      </c>
      <c r="C501" s="1" t="s">
        <v>2972</v>
      </c>
      <c r="E501" s="1" t="s">
        <v>2973</v>
      </c>
      <c r="F501" s="2" t="s">
        <v>2978</v>
      </c>
      <c r="G501" s="2" t="s">
        <v>2979</v>
      </c>
      <c r="H501" s="3" t="str">
        <f t="shared" si="1"/>
        <v>#NAME?</v>
      </c>
      <c r="I501" s="2" t="s">
        <v>2980</v>
      </c>
      <c r="J501" s="4" t="s">
        <v>2977</v>
      </c>
    </row>
    <row r="502">
      <c r="A502" s="1">
        <v>501.0</v>
      </c>
      <c r="B502" s="1" t="s">
        <v>2971</v>
      </c>
      <c r="C502" s="1" t="s">
        <v>2972</v>
      </c>
      <c r="E502" s="1" t="s">
        <v>2973</v>
      </c>
      <c r="F502" s="2" t="s">
        <v>2981</v>
      </c>
      <c r="G502" s="2" t="s">
        <v>2982</v>
      </c>
      <c r="H502" s="3" t="str">
        <f t="shared" si="1"/>
        <v>#NAME?</v>
      </c>
      <c r="I502" s="2" t="s">
        <v>2983</v>
      </c>
      <c r="J502" s="4" t="s">
        <v>2977</v>
      </c>
    </row>
    <row r="503">
      <c r="A503" s="1">
        <v>502.0</v>
      </c>
      <c r="B503" s="1" t="s">
        <v>2984</v>
      </c>
      <c r="C503" s="1" t="s">
        <v>2985</v>
      </c>
      <c r="E503" s="1" t="s">
        <v>2986</v>
      </c>
      <c r="F503" s="2" t="s">
        <v>2987</v>
      </c>
      <c r="G503" s="2" t="s">
        <v>2988</v>
      </c>
      <c r="H503" s="3" t="str">
        <f t="shared" si="1"/>
        <v>#NAME?</v>
      </c>
      <c r="I503" s="2" t="s">
        <v>2989</v>
      </c>
      <c r="J503" s="4" t="s">
        <v>2990</v>
      </c>
    </row>
    <row r="504">
      <c r="A504" s="1">
        <v>503.0</v>
      </c>
      <c r="B504" s="1" t="s">
        <v>2984</v>
      </c>
      <c r="C504" s="1" t="s">
        <v>2985</v>
      </c>
      <c r="E504" s="1" t="s">
        <v>2986</v>
      </c>
      <c r="F504" s="2" t="s">
        <v>2991</v>
      </c>
      <c r="G504" s="2" t="s">
        <v>2992</v>
      </c>
      <c r="H504" s="3" t="str">
        <f t="shared" si="1"/>
        <v>#NAME?</v>
      </c>
      <c r="I504" s="2" t="s">
        <v>2993</v>
      </c>
      <c r="J504" s="4" t="s">
        <v>2990</v>
      </c>
    </row>
    <row r="505">
      <c r="A505" s="1">
        <v>504.0</v>
      </c>
      <c r="B505" s="1" t="s">
        <v>2994</v>
      </c>
      <c r="C505" s="1" t="s">
        <v>2995</v>
      </c>
      <c r="E505" s="1" t="s">
        <v>2996</v>
      </c>
      <c r="F505" s="2" t="s">
        <v>2997</v>
      </c>
      <c r="G505" s="2" t="s">
        <v>2998</v>
      </c>
      <c r="H505" s="3" t="str">
        <f t="shared" si="1"/>
        <v>#NAME?</v>
      </c>
      <c r="I505" s="2" t="s">
        <v>2999</v>
      </c>
      <c r="J505" s="4" t="s">
        <v>3000</v>
      </c>
    </row>
    <row r="506">
      <c r="A506" s="1">
        <v>505.0</v>
      </c>
      <c r="B506" s="1" t="s">
        <v>2994</v>
      </c>
      <c r="C506" s="1" t="s">
        <v>2995</v>
      </c>
      <c r="E506" s="1" t="s">
        <v>2996</v>
      </c>
      <c r="F506" s="2" t="s">
        <v>3001</v>
      </c>
      <c r="G506" s="2" t="s">
        <v>3002</v>
      </c>
      <c r="H506" s="3" t="str">
        <f t="shared" si="1"/>
        <v>#NAME?</v>
      </c>
      <c r="I506" s="2" t="s">
        <v>3003</v>
      </c>
      <c r="J506" s="4" t="s">
        <v>3000</v>
      </c>
    </row>
    <row r="507">
      <c r="A507" s="1">
        <v>506.0</v>
      </c>
      <c r="B507" s="1" t="s">
        <v>3004</v>
      </c>
      <c r="C507" s="1" t="s">
        <v>3005</v>
      </c>
      <c r="E507" s="1" t="s">
        <v>3006</v>
      </c>
      <c r="F507" s="2" t="s">
        <v>3007</v>
      </c>
      <c r="G507" s="2" t="s">
        <v>3008</v>
      </c>
      <c r="H507" s="3" t="str">
        <f t="shared" si="1"/>
        <v>#NAME?</v>
      </c>
      <c r="I507" s="2" t="s">
        <v>3009</v>
      </c>
      <c r="J507" s="4" t="s">
        <v>3010</v>
      </c>
    </row>
    <row r="508">
      <c r="A508" s="1">
        <v>507.0</v>
      </c>
      <c r="B508" s="1" t="s">
        <v>3011</v>
      </c>
      <c r="C508" s="1" t="s">
        <v>3012</v>
      </c>
      <c r="E508" s="1" t="s">
        <v>3013</v>
      </c>
      <c r="F508" s="2" t="s">
        <v>3014</v>
      </c>
      <c r="G508" s="2" t="s">
        <v>3015</v>
      </c>
      <c r="H508" s="3" t="str">
        <f t="shared" si="1"/>
        <v>#NAME?</v>
      </c>
      <c r="I508" s="2" t="s">
        <v>3016</v>
      </c>
      <c r="J508" s="4" t="s">
        <v>3017</v>
      </c>
    </row>
    <row r="509">
      <c r="A509" s="1">
        <v>508.0</v>
      </c>
      <c r="B509" s="1" t="s">
        <v>3011</v>
      </c>
      <c r="C509" s="1" t="s">
        <v>3018</v>
      </c>
      <c r="E509" s="1" t="s">
        <v>3019</v>
      </c>
      <c r="F509" s="2" t="s">
        <v>3020</v>
      </c>
      <c r="G509" s="2" t="s">
        <v>3021</v>
      </c>
      <c r="H509" s="3" t="str">
        <f t="shared" si="1"/>
        <v>#NAME?</v>
      </c>
      <c r="I509" s="2" t="s">
        <v>3022</v>
      </c>
      <c r="J509" s="4" t="s">
        <v>3017</v>
      </c>
    </row>
    <row r="510">
      <c r="A510" s="1">
        <v>509.0</v>
      </c>
      <c r="B510" s="1" t="s">
        <v>3023</v>
      </c>
      <c r="C510" s="1" t="s">
        <v>3024</v>
      </c>
      <c r="E510" s="1" t="s">
        <v>3025</v>
      </c>
      <c r="F510" s="2" t="s">
        <v>3026</v>
      </c>
      <c r="G510" s="2" t="s">
        <v>3027</v>
      </c>
      <c r="H510" s="3" t="str">
        <f t="shared" si="1"/>
        <v>#NAME?</v>
      </c>
      <c r="I510" s="2" t="s">
        <v>3028</v>
      </c>
      <c r="J510" s="4" t="s">
        <v>3029</v>
      </c>
    </row>
    <row r="511">
      <c r="A511" s="1">
        <v>510.0</v>
      </c>
      <c r="B511" s="1" t="s">
        <v>3023</v>
      </c>
      <c r="C511" s="1" t="s">
        <v>3024</v>
      </c>
      <c r="E511" s="1" t="s">
        <v>3025</v>
      </c>
      <c r="F511" s="2" t="s">
        <v>3030</v>
      </c>
      <c r="G511" s="2" t="s">
        <v>3031</v>
      </c>
      <c r="H511" s="3" t="str">
        <f t="shared" si="1"/>
        <v>#NAME?</v>
      </c>
      <c r="I511" s="2" t="s">
        <v>3032</v>
      </c>
      <c r="J511" s="4" t="s">
        <v>3029</v>
      </c>
    </row>
    <row r="512">
      <c r="A512" s="1">
        <v>511.0</v>
      </c>
      <c r="B512" s="1" t="s">
        <v>3033</v>
      </c>
      <c r="C512" s="1" t="s">
        <v>3034</v>
      </c>
      <c r="E512" s="1" t="s">
        <v>3035</v>
      </c>
      <c r="F512" s="2" t="s">
        <v>3036</v>
      </c>
      <c r="G512" s="2" t="s">
        <v>3037</v>
      </c>
      <c r="H512" s="3" t="str">
        <f t="shared" si="1"/>
        <v>#NAME?</v>
      </c>
      <c r="I512" s="2" t="s">
        <v>3038</v>
      </c>
      <c r="J512" s="4" t="s">
        <v>3039</v>
      </c>
    </row>
    <row r="513">
      <c r="A513" s="1">
        <v>512.0</v>
      </c>
      <c r="B513" s="1" t="s">
        <v>3033</v>
      </c>
      <c r="C513" s="1" t="s">
        <v>3034</v>
      </c>
      <c r="E513" s="1" t="s">
        <v>3035</v>
      </c>
      <c r="F513" s="2" t="s">
        <v>3036</v>
      </c>
      <c r="G513" s="2" t="s">
        <v>3040</v>
      </c>
      <c r="H513" s="3" t="str">
        <f t="shared" si="1"/>
        <v>#NAME?</v>
      </c>
      <c r="I513" s="2" t="s">
        <v>3041</v>
      </c>
      <c r="J513" s="4" t="s">
        <v>3039</v>
      </c>
    </row>
    <row r="514">
      <c r="A514" s="1">
        <v>513.0</v>
      </c>
      <c r="B514" s="1" t="s">
        <v>3042</v>
      </c>
      <c r="C514" s="1" t="s">
        <v>3043</v>
      </c>
      <c r="E514" s="1" t="s">
        <v>3044</v>
      </c>
      <c r="F514" s="2" t="s">
        <v>1191</v>
      </c>
      <c r="G514" s="2" t="s">
        <v>3045</v>
      </c>
      <c r="H514" s="3" t="str">
        <f t="shared" si="1"/>
        <v>#NAME?</v>
      </c>
      <c r="I514" s="2" t="s">
        <v>3046</v>
      </c>
      <c r="J514" s="4" t="s">
        <v>3047</v>
      </c>
    </row>
    <row r="515">
      <c r="A515" s="1">
        <v>514.0</v>
      </c>
      <c r="B515" s="1" t="s">
        <v>3048</v>
      </c>
      <c r="C515" s="1" t="s">
        <v>3049</v>
      </c>
      <c r="E515" s="1" t="s">
        <v>3050</v>
      </c>
      <c r="F515" s="2" t="s">
        <v>3051</v>
      </c>
      <c r="G515" s="2" t="s">
        <v>3052</v>
      </c>
      <c r="H515" s="3" t="str">
        <f t="shared" si="1"/>
        <v>#NAME?</v>
      </c>
      <c r="I515" s="2" t="s">
        <v>3053</v>
      </c>
      <c r="J515" s="4" t="s">
        <v>3054</v>
      </c>
    </row>
    <row r="516">
      <c r="A516" s="1">
        <v>515.0</v>
      </c>
      <c r="B516" s="1" t="s">
        <v>3048</v>
      </c>
      <c r="C516" s="1" t="s">
        <v>3055</v>
      </c>
      <c r="E516" s="1" t="s">
        <v>3056</v>
      </c>
      <c r="F516" s="2" t="s">
        <v>3057</v>
      </c>
      <c r="G516" s="2" t="s">
        <v>3058</v>
      </c>
      <c r="H516" s="3" t="str">
        <f t="shared" si="1"/>
        <v>#NAME?</v>
      </c>
      <c r="I516" s="2" t="s">
        <v>3059</v>
      </c>
      <c r="J516" s="4" t="s">
        <v>3054</v>
      </c>
    </row>
    <row r="517">
      <c r="A517" s="1">
        <v>516.0</v>
      </c>
      <c r="B517" s="1" t="s">
        <v>3060</v>
      </c>
      <c r="C517" s="1" t="s">
        <v>3061</v>
      </c>
      <c r="E517" s="1" t="s">
        <v>3062</v>
      </c>
      <c r="F517" s="2" t="s">
        <v>3063</v>
      </c>
      <c r="G517" s="2" t="s">
        <v>3064</v>
      </c>
      <c r="H517" s="3" t="str">
        <f t="shared" si="1"/>
        <v>#NAME?</v>
      </c>
      <c r="I517" s="2" t="s">
        <v>3065</v>
      </c>
      <c r="J517" s="4" t="s">
        <v>3066</v>
      </c>
    </row>
    <row r="518">
      <c r="A518" s="1">
        <v>517.0</v>
      </c>
      <c r="B518" s="1" t="s">
        <v>3067</v>
      </c>
      <c r="C518" s="1" t="s">
        <v>3068</v>
      </c>
      <c r="E518" s="1" t="s">
        <v>3069</v>
      </c>
      <c r="F518" s="2" t="s">
        <v>3070</v>
      </c>
      <c r="G518" s="2" t="s">
        <v>3071</v>
      </c>
      <c r="H518" s="3" t="str">
        <f t="shared" si="1"/>
        <v>#NAME?</v>
      </c>
      <c r="I518" s="2" t="s">
        <v>3072</v>
      </c>
      <c r="J518" s="4" t="s">
        <v>3073</v>
      </c>
    </row>
    <row r="519">
      <c r="A519" s="1">
        <v>518.0</v>
      </c>
      <c r="B519" s="1" t="s">
        <v>3067</v>
      </c>
      <c r="C519" s="1" t="s">
        <v>3074</v>
      </c>
      <c r="E519" s="1" t="s">
        <v>3075</v>
      </c>
      <c r="F519" s="2" t="s">
        <v>3076</v>
      </c>
      <c r="G519" s="2" t="s">
        <v>3077</v>
      </c>
      <c r="H519" s="3" t="str">
        <f t="shared" si="1"/>
        <v>#NAME?</v>
      </c>
      <c r="I519" s="2" t="s">
        <v>3078</v>
      </c>
      <c r="J519" s="4" t="s">
        <v>3073</v>
      </c>
    </row>
    <row r="520">
      <c r="A520" s="1">
        <v>519.0</v>
      </c>
      <c r="B520" s="1" t="s">
        <v>3079</v>
      </c>
      <c r="C520" s="1" t="s">
        <v>3080</v>
      </c>
      <c r="E520" s="1" t="s">
        <v>3081</v>
      </c>
      <c r="F520" s="2" t="s">
        <v>3082</v>
      </c>
      <c r="G520" s="2" t="s">
        <v>3083</v>
      </c>
      <c r="H520" s="3" t="str">
        <f t="shared" si="1"/>
        <v>#NAME?</v>
      </c>
      <c r="I520" s="2" t="s">
        <v>3084</v>
      </c>
      <c r="J520" s="4" t="s">
        <v>3085</v>
      </c>
    </row>
    <row r="521">
      <c r="A521" s="1">
        <v>520.0</v>
      </c>
      <c r="B521" s="1" t="s">
        <v>3079</v>
      </c>
      <c r="C521" s="1" t="s">
        <v>3080</v>
      </c>
      <c r="E521" s="1" t="s">
        <v>3081</v>
      </c>
      <c r="F521" s="2" t="s">
        <v>3086</v>
      </c>
      <c r="G521" s="2" t="s">
        <v>3087</v>
      </c>
      <c r="H521" s="3" t="str">
        <f t="shared" si="1"/>
        <v>#NAME?</v>
      </c>
      <c r="I521" s="2" t="s">
        <v>3088</v>
      </c>
      <c r="J521" s="4" t="s">
        <v>3085</v>
      </c>
    </row>
    <row r="522">
      <c r="A522" s="1">
        <v>521.0</v>
      </c>
      <c r="B522" s="1" t="s">
        <v>3089</v>
      </c>
      <c r="C522" s="1" t="s">
        <v>3090</v>
      </c>
      <c r="E522" s="1" t="s">
        <v>3091</v>
      </c>
      <c r="F522" s="2" t="s">
        <v>1017</v>
      </c>
      <c r="G522" s="2" t="s">
        <v>3092</v>
      </c>
      <c r="H522" s="3" t="str">
        <f t="shared" si="1"/>
        <v>#NAME?</v>
      </c>
      <c r="I522" s="2" t="s">
        <v>3093</v>
      </c>
      <c r="J522" s="4" t="s">
        <v>3094</v>
      </c>
    </row>
    <row r="523">
      <c r="A523" s="1">
        <v>522.0</v>
      </c>
      <c r="B523" s="1" t="s">
        <v>3089</v>
      </c>
      <c r="C523" s="1" t="s">
        <v>3095</v>
      </c>
      <c r="E523" s="1" t="s">
        <v>3096</v>
      </c>
      <c r="F523" s="2" t="s">
        <v>3097</v>
      </c>
      <c r="G523" s="2" t="s">
        <v>3098</v>
      </c>
      <c r="H523" s="3" t="str">
        <f t="shared" si="1"/>
        <v>#NAME?</v>
      </c>
      <c r="I523" s="2" t="s">
        <v>3099</v>
      </c>
      <c r="J523" s="4" t="s">
        <v>3094</v>
      </c>
    </row>
    <row r="524">
      <c r="A524" s="1">
        <v>523.0</v>
      </c>
      <c r="B524" s="1" t="s">
        <v>3100</v>
      </c>
      <c r="C524" s="1" t="s">
        <v>3101</v>
      </c>
      <c r="E524" s="1" t="s">
        <v>3102</v>
      </c>
      <c r="F524" s="2" t="s">
        <v>3103</v>
      </c>
      <c r="G524" s="2" t="s">
        <v>3104</v>
      </c>
      <c r="H524" s="3" t="str">
        <f t="shared" si="1"/>
        <v>#NAME?</v>
      </c>
      <c r="I524" s="2" t="s">
        <v>3105</v>
      </c>
      <c r="J524" s="4" t="s">
        <v>3106</v>
      </c>
    </row>
    <row r="525">
      <c r="A525" s="1">
        <v>524.0</v>
      </c>
      <c r="B525" s="1" t="s">
        <v>3100</v>
      </c>
      <c r="C525" s="1" t="s">
        <v>3107</v>
      </c>
      <c r="E525" s="1" t="s">
        <v>3108</v>
      </c>
      <c r="F525" s="2" t="s">
        <v>3109</v>
      </c>
      <c r="G525" s="2" t="s">
        <v>3110</v>
      </c>
      <c r="H525" s="3" t="str">
        <f t="shared" si="1"/>
        <v>#NAME?</v>
      </c>
      <c r="I525" s="2" t="s">
        <v>3111</v>
      </c>
      <c r="J525" s="4" t="s">
        <v>3106</v>
      </c>
    </row>
    <row r="526">
      <c r="A526" s="8">
        <v>525.0</v>
      </c>
      <c r="B526" s="8" t="s">
        <v>3112</v>
      </c>
      <c r="C526" s="8" t="s">
        <v>3113</v>
      </c>
      <c r="D526" s="9"/>
      <c r="E526" s="8" t="s">
        <v>3114</v>
      </c>
      <c r="F526" s="10" t="s">
        <v>3115</v>
      </c>
      <c r="G526" s="10" t="s">
        <v>3116</v>
      </c>
      <c r="H526" s="3" t="str">
        <f t="shared" si="1"/>
        <v>#NAME?</v>
      </c>
      <c r="I526" s="10" t="s">
        <v>3117</v>
      </c>
      <c r="J526" s="11" t="s">
        <v>3118</v>
      </c>
      <c r="K526" s="9"/>
      <c r="L526" s="9"/>
    </row>
    <row r="527">
      <c r="A527" s="8">
        <v>526.0</v>
      </c>
      <c r="B527" s="8" t="s">
        <v>3112</v>
      </c>
      <c r="C527" s="8" t="s">
        <v>3113</v>
      </c>
      <c r="D527" s="9"/>
      <c r="E527" s="8" t="s">
        <v>3114</v>
      </c>
      <c r="F527" s="10" t="s">
        <v>3119</v>
      </c>
      <c r="G527" s="10" t="s">
        <v>3120</v>
      </c>
      <c r="H527" s="3" t="str">
        <f t="shared" si="1"/>
        <v>#NAME?</v>
      </c>
      <c r="I527" s="10" t="s">
        <v>3121</v>
      </c>
      <c r="J527" s="11" t="s">
        <v>3118</v>
      </c>
      <c r="K527" s="9"/>
      <c r="L527" s="9"/>
    </row>
    <row r="528">
      <c r="A528" s="8">
        <v>527.0</v>
      </c>
      <c r="B528" s="8" t="s">
        <v>3122</v>
      </c>
      <c r="C528" s="8" t="s">
        <v>3123</v>
      </c>
      <c r="D528" s="9"/>
      <c r="E528" s="8" t="s">
        <v>3124</v>
      </c>
      <c r="F528" s="10" t="s">
        <v>3125</v>
      </c>
      <c r="G528" s="10" t="s">
        <v>3126</v>
      </c>
      <c r="H528" s="3" t="str">
        <f t="shared" si="1"/>
        <v>#NAME?</v>
      </c>
      <c r="I528" s="10" t="s">
        <v>3127</v>
      </c>
      <c r="J528" s="11" t="s">
        <v>3128</v>
      </c>
      <c r="K528" s="9"/>
      <c r="L528" s="9"/>
    </row>
    <row r="529">
      <c r="A529" s="8">
        <v>528.0</v>
      </c>
      <c r="B529" s="8" t="s">
        <v>3122</v>
      </c>
      <c r="C529" s="8" t="s">
        <v>3129</v>
      </c>
      <c r="D529" s="9"/>
      <c r="E529" s="8" t="s">
        <v>3130</v>
      </c>
      <c r="F529" s="10" t="s">
        <v>3131</v>
      </c>
      <c r="G529" s="10" t="s">
        <v>3132</v>
      </c>
      <c r="H529" s="3" t="str">
        <f t="shared" si="1"/>
        <v>#NAME?</v>
      </c>
      <c r="I529" s="10" t="s">
        <v>3133</v>
      </c>
      <c r="J529" s="11" t="s">
        <v>3128</v>
      </c>
      <c r="K529" s="9"/>
      <c r="L529" s="9"/>
    </row>
    <row r="530">
      <c r="A530" s="1">
        <v>529.0</v>
      </c>
      <c r="B530" s="1" t="s">
        <v>3134</v>
      </c>
      <c r="C530" s="1" t="s">
        <v>3135</v>
      </c>
      <c r="E530" s="1" t="s">
        <v>3136</v>
      </c>
      <c r="F530" s="2" t="s">
        <v>3137</v>
      </c>
      <c r="G530" s="2" t="s">
        <v>3138</v>
      </c>
      <c r="H530" s="3" t="str">
        <f t="shared" si="1"/>
        <v>#NAME?</v>
      </c>
      <c r="I530" s="2" t="s">
        <v>3139</v>
      </c>
      <c r="J530" s="4" t="s">
        <v>3140</v>
      </c>
    </row>
    <row r="531">
      <c r="A531" s="1">
        <v>530.0</v>
      </c>
      <c r="B531" s="1" t="s">
        <v>3141</v>
      </c>
      <c r="C531" s="1" t="s">
        <v>3142</v>
      </c>
      <c r="E531" s="1" t="s">
        <v>3143</v>
      </c>
      <c r="F531" s="2" t="s">
        <v>1719</v>
      </c>
      <c r="G531" s="2" t="s">
        <v>3144</v>
      </c>
      <c r="H531" s="3" t="str">
        <f t="shared" si="1"/>
        <v>#NAME?</v>
      </c>
      <c r="I531" s="2" t="s">
        <v>3145</v>
      </c>
      <c r="J531" s="4" t="s">
        <v>3146</v>
      </c>
    </row>
    <row r="532">
      <c r="A532" s="1">
        <v>531.0</v>
      </c>
      <c r="B532" s="1" t="s">
        <v>3147</v>
      </c>
      <c r="C532" s="1" t="s">
        <v>3148</v>
      </c>
      <c r="E532" s="1" t="s">
        <v>3149</v>
      </c>
      <c r="F532" s="2" t="s">
        <v>3150</v>
      </c>
      <c r="G532" s="2" t="s">
        <v>3151</v>
      </c>
      <c r="H532" s="3" t="str">
        <f t="shared" si="1"/>
        <v>#NAME?</v>
      </c>
      <c r="I532" s="2" t="s">
        <v>3152</v>
      </c>
      <c r="J532" s="4" t="s">
        <v>3153</v>
      </c>
    </row>
    <row r="533">
      <c r="A533" s="1">
        <v>532.0</v>
      </c>
      <c r="B533" s="1" t="s">
        <v>3147</v>
      </c>
      <c r="C533" s="1" t="s">
        <v>3154</v>
      </c>
      <c r="E533" s="1" t="s">
        <v>3155</v>
      </c>
      <c r="F533" s="2" t="s">
        <v>3156</v>
      </c>
      <c r="G533" s="2" t="s">
        <v>3157</v>
      </c>
      <c r="H533" s="3" t="str">
        <f t="shared" si="1"/>
        <v>#NAME?</v>
      </c>
      <c r="I533" s="2" t="s">
        <v>3158</v>
      </c>
      <c r="J533" s="4" t="s">
        <v>3153</v>
      </c>
    </row>
    <row r="534">
      <c r="A534" s="1">
        <v>533.0</v>
      </c>
      <c r="B534" s="1" t="s">
        <v>3147</v>
      </c>
      <c r="C534" s="1" t="s">
        <v>3159</v>
      </c>
      <c r="E534" s="1" t="s">
        <v>3160</v>
      </c>
      <c r="F534" s="2" t="s">
        <v>3161</v>
      </c>
      <c r="G534" s="2" t="s">
        <v>3162</v>
      </c>
      <c r="H534" s="3" t="str">
        <f t="shared" si="1"/>
        <v>#NAME?</v>
      </c>
      <c r="I534" s="2" t="s">
        <v>3163</v>
      </c>
      <c r="J534" s="4" t="s">
        <v>3153</v>
      </c>
    </row>
    <row r="535">
      <c r="A535" s="1">
        <v>534.0</v>
      </c>
      <c r="B535" s="1" t="s">
        <v>3164</v>
      </c>
      <c r="C535" s="1" t="s">
        <v>3165</v>
      </c>
      <c r="E535" s="1" t="s">
        <v>3166</v>
      </c>
      <c r="F535" s="2" t="s">
        <v>3167</v>
      </c>
      <c r="G535" s="2" t="s">
        <v>3168</v>
      </c>
      <c r="H535" s="3" t="str">
        <f t="shared" si="1"/>
        <v>#NAME?</v>
      </c>
      <c r="I535" s="2" t="s">
        <v>3169</v>
      </c>
      <c r="J535" s="4" t="s">
        <v>3153</v>
      </c>
    </row>
    <row r="536" ht="30.75" customHeight="1">
      <c r="A536" s="1">
        <v>535.0</v>
      </c>
      <c r="B536" s="1" t="s">
        <v>3164</v>
      </c>
      <c r="C536" s="1" t="s">
        <v>3170</v>
      </c>
      <c r="E536" s="1" t="s">
        <v>3171</v>
      </c>
      <c r="F536" s="2" t="s">
        <v>3172</v>
      </c>
      <c r="G536" s="2" t="s">
        <v>3173</v>
      </c>
      <c r="H536" s="3" t="str">
        <f t="shared" si="1"/>
        <v>#NAME?</v>
      </c>
      <c r="I536" s="2" t="s">
        <v>3174</v>
      </c>
      <c r="J536" s="4" t="s">
        <v>3153</v>
      </c>
    </row>
    <row r="537" ht="23.25" customHeight="1">
      <c r="A537" s="8">
        <v>536.0</v>
      </c>
      <c r="B537" s="8" t="s">
        <v>3175</v>
      </c>
      <c r="C537" s="8" t="s">
        <v>3176</v>
      </c>
      <c r="D537" s="9"/>
      <c r="E537" s="8" t="s">
        <v>3177</v>
      </c>
      <c r="F537" s="10" t="s">
        <v>3178</v>
      </c>
      <c r="G537" s="10" t="s">
        <v>3179</v>
      </c>
      <c r="H537" s="3" t="str">
        <f t="shared" si="1"/>
        <v>#NAME?</v>
      </c>
      <c r="I537" s="10" t="s">
        <v>3180</v>
      </c>
      <c r="J537" s="11" t="s">
        <v>3181</v>
      </c>
      <c r="K537" s="9"/>
      <c r="L537" s="9"/>
    </row>
    <row r="538">
      <c r="A538" s="8">
        <v>537.0</v>
      </c>
      <c r="B538" s="8" t="s">
        <v>3175</v>
      </c>
      <c r="C538" s="8" t="s">
        <v>3176</v>
      </c>
      <c r="D538" s="9"/>
      <c r="E538" s="8" t="s">
        <v>3177</v>
      </c>
      <c r="F538" s="10" t="s">
        <v>3182</v>
      </c>
      <c r="G538" s="10" t="s">
        <v>3183</v>
      </c>
      <c r="H538" s="3" t="str">
        <f t="shared" si="1"/>
        <v>#NAME?</v>
      </c>
      <c r="I538" s="10" t="s">
        <v>3184</v>
      </c>
      <c r="J538" s="11" t="s">
        <v>3185</v>
      </c>
      <c r="K538" s="9"/>
      <c r="L538" s="9"/>
    </row>
    <row r="539">
      <c r="A539" s="8">
        <v>538.0</v>
      </c>
      <c r="B539" s="8" t="s">
        <v>3175</v>
      </c>
      <c r="C539" s="8" t="s">
        <v>3176</v>
      </c>
      <c r="D539" s="9"/>
      <c r="E539" s="8" t="s">
        <v>3177</v>
      </c>
      <c r="F539" s="10" t="s">
        <v>3186</v>
      </c>
      <c r="G539" s="10" t="s">
        <v>3187</v>
      </c>
      <c r="H539" s="3" t="str">
        <f t="shared" si="1"/>
        <v>#NAME?</v>
      </c>
      <c r="I539" s="10" t="s">
        <v>3188</v>
      </c>
      <c r="J539" s="11" t="s">
        <v>3185</v>
      </c>
      <c r="K539" s="9"/>
      <c r="L539" s="9"/>
    </row>
    <row r="540">
      <c r="A540" s="8">
        <v>539.0</v>
      </c>
      <c r="B540" s="8" t="s">
        <v>3189</v>
      </c>
      <c r="C540" s="8" t="s">
        <v>3190</v>
      </c>
      <c r="D540" s="9"/>
      <c r="E540" s="8" t="s">
        <v>3191</v>
      </c>
      <c r="F540" s="10" t="s">
        <v>3192</v>
      </c>
      <c r="G540" s="10" t="s">
        <v>3193</v>
      </c>
      <c r="H540" s="3" t="str">
        <f t="shared" si="1"/>
        <v>#NAME?</v>
      </c>
      <c r="I540" s="10" t="s">
        <v>3194</v>
      </c>
      <c r="J540" s="11" t="s">
        <v>3195</v>
      </c>
      <c r="K540" s="9"/>
      <c r="L540" s="9"/>
    </row>
    <row r="541">
      <c r="A541" s="1">
        <v>540.0</v>
      </c>
      <c r="B541" s="1" t="s">
        <v>3196</v>
      </c>
      <c r="C541" s="1" t="s">
        <v>3197</v>
      </c>
      <c r="E541" s="1" t="s">
        <v>3198</v>
      </c>
      <c r="F541" s="2" t="s">
        <v>3199</v>
      </c>
      <c r="G541" s="2" t="s">
        <v>3200</v>
      </c>
      <c r="H541" s="3" t="str">
        <f t="shared" si="1"/>
        <v>#NAME?</v>
      </c>
      <c r="I541" s="2" t="s">
        <v>3201</v>
      </c>
      <c r="J541" s="4" t="s">
        <v>3202</v>
      </c>
    </row>
    <row r="542">
      <c r="A542" s="1">
        <v>541.0</v>
      </c>
      <c r="B542" s="1" t="s">
        <v>3203</v>
      </c>
      <c r="C542" s="1" t="s">
        <v>3204</v>
      </c>
      <c r="E542" s="1" t="s">
        <v>3205</v>
      </c>
      <c r="F542" s="2" t="s">
        <v>3206</v>
      </c>
      <c r="G542" s="2" t="s">
        <v>3207</v>
      </c>
      <c r="H542" s="3" t="str">
        <f t="shared" si="1"/>
        <v>#NAME?</v>
      </c>
      <c r="I542" s="2" t="s">
        <v>3208</v>
      </c>
      <c r="J542" s="4" t="s">
        <v>3209</v>
      </c>
    </row>
    <row r="543">
      <c r="A543" s="1">
        <v>542.0</v>
      </c>
      <c r="B543" s="1" t="s">
        <v>3210</v>
      </c>
      <c r="C543" s="1" t="s">
        <v>3211</v>
      </c>
      <c r="E543" s="1" t="s">
        <v>3212</v>
      </c>
      <c r="F543" s="2" t="s">
        <v>3213</v>
      </c>
      <c r="G543" s="2" t="s">
        <v>3214</v>
      </c>
      <c r="H543" s="3" t="str">
        <f t="shared" si="1"/>
        <v>#NAME?</v>
      </c>
      <c r="I543" s="2" t="s">
        <v>3215</v>
      </c>
      <c r="J543" s="4" t="s">
        <v>3216</v>
      </c>
    </row>
    <row r="544">
      <c r="A544" s="1">
        <v>543.0</v>
      </c>
      <c r="B544" s="1" t="s">
        <v>3210</v>
      </c>
      <c r="C544" s="1" t="s">
        <v>3211</v>
      </c>
      <c r="E544" s="1" t="s">
        <v>3212</v>
      </c>
      <c r="F544" s="2" t="s">
        <v>3217</v>
      </c>
      <c r="G544" s="2" t="s">
        <v>3218</v>
      </c>
      <c r="H544" s="3" t="str">
        <f t="shared" si="1"/>
        <v>#NAME?</v>
      </c>
      <c r="I544" s="2" t="s">
        <v>3219</v>
      </c>
      <c r="J544" s="4" t="s">
        <v>3220</v>
      </c>
    </row>
    <row r="545">
      <c r="A545" s="1">
        <v>544.0</v>
      </c>
      <c r="B545" s="1" t="s">
        <v>3221</v>
      </c>
      <c r="C545" s="1" t="s">
        <v>3222</v>
      </c>
      <c r="E545" s="1" t="s">
        <v>3223</v>
      </c>
      <c r="F545" s="2" t="s">
        <v>3224</v>
      </c>
      <c r="G545" s="2" t="s">
        <v>3225</v>
      </c>
      <c r="H545" s="3" t="str">
        <f t="shared" si="1"/>
        <v>#NAME?</v>
      </c>
      <c r="I545" s="2" t="s">
        <v>3226</v>
      </c>
      <c r="J545" s="4" t="s">
        <v>3220</v>
      </c>
    </row>
    <row r="546">
      <c r="A546" s="1">
        <v>545.0</v>
      </c>
      <c r="B546" s="1" t="s">
        <v>3227</v>
      </c>
      <c r="C546" s="1" t="s">
        <v>3228</v>
      </c>
      <c r="E546" s="1" t="s">
        <v>3229</v>
      </c>
      <c r="F546" s="2" t="s">
        <v>3230</v>
      </c>
      <c r="G546" s="2" t="s">
        <v>3231</v>
      </c>
      <c r="H546" s="3" t="str">
        <f t="shared" si="1"/>
        <v>#NAME?</v>
      </c>
      <c r="I546" s="2" t="s">
        <v>3232</v>
      </c>
      <c r="J546" s="4" t="s">
        <v>3233</v>
      </c>
    </row>
    <row r="547">
      <c r="A547" s="1">
        <v>546.0</v>
      </c>
      <c r="B547" s="1" t="s">
        <v>3234</v>
      </c>
      <c r="C547" s="1" t="s">
        <v>716</v>
      </c>
      <c r="E547" s="1" t="s">
        <v>717</v>
      </c>
      <c r="F547" s="2" t="s">
        <v>2421</v>
      </c>
      <c r="G547" s="2" t="s">
        <v>3235</v>
      </c>
      <c r="H547" s="3" t="str">
        <f t="shared" si="1"/>
        <v>#NAME?</v>
      </c>
      <c r="I547" s="2" t="s">
        <v>3236</v>
      </c>
      <c r="J547" s="4" t="s">
        <v>3237</v>
      </c>
    </row>
    <row r="548">
      <c r="A548" s="1">
        <v>547.0</v>
      </c>
      <c r="B548" s="1" t="s">
        <v>3234</v>
      </c>
      <c r="C548" s="1" t="s">
        <v>716</v>
      </c>
      <c r="E548" s="1" t="s">
        <v>717</v>
      </c>
      <c r="F548" s="2" t="s">
        <v>3238</v>
      </c>
      <c r="G548" s="2" t="s">
        <v>3239</v>
      </c>
      <c r="H548" s="3" t="str">
        <f t="shared" si="1"/>
        <v>#NAME?</v>
      </c>
      <c r="I548" s="2" t="s">
        <v>3240</v>
      </c>
      <c r="J548" s="4" t="s">
        <v>3237</v>
      </c>
    </row>
    <row r="549">
      <c r="A549" s="1">
        <v>548.0</v>
      </c>
      <c r="B549" s="1" t="s">
        <v>3241</v>
      </c>
      <c r="C549" s="1" t="s">
        <v>3242</v>
      </c>
      <c r="E549" s="1" t="s">
        <v>3243</v>
      </c>
      <c r="F549" s="2" t="s">
        <v>3244</v>
      </c>
      <c r="G549" s="2" t="s">
        <v>3245</v>
      </c>
      <c r="H549" s="3" t="str">
        <f t="shared" si="1"/>
        <v>#NAME?</v>
      </c>
      <c r="I549" s="2" t="s">
        <v>3246</v>
      </c>
      <c r="J549" s="4" t="s">
        <v>3247</v>
      </c>
    </row>
    <row r="550">
      <c r="A550" s="1">
        <v>549.0</v>
      </c>
      <c r="B550" s="1" t="s">
        <v>3248</v>
      </c>
      <c r="C550" s="1" t="s">
        <v>3249</v>
      </c>
      <c r="E550" s="1" t="s">
        <v>3250</v>
      </c>
      <c r="F550" s="2" t="s">
        <v>3251</v>
      </c>
      <c r="G550" s="2" t="s">
        <v>3252</v>
      </c>
      <c r="H550" s="3" t="str">
        <f t="shared" si="1"/>
        <v>#NAME?</v>
      </c>
      <c r="I550" s="2" t="s">
        <v>3253</v>
      </c>
      <c r="J550" s="4" t="s">
        <v>3254</v>
      </c>
    </row>
    <row r="551">
      <c r="A551" s="1">
        <v>550.0</v>
      </c>
      <c r="B551" s="1" t="s">
        <v>3255</v>
      </c>
      <c r="C551" s="1" t="s">
        <v>3256</v>
      </c>
      <c r="E551" s="1" t="s">
        <v>3257</v>
      </c>
      <c r="F551" s="2" t="s">
        <v>3258</v>
      </c>
      <c r="G551" s="2" t="s">
        <v>3259</v>
      </c>
      <c r="H551" s="3" t="str">
        <f t="shared" si="1"/>
        <v>#NAME?</v>
      </c>
      <c r="I551" s="2" t="s">
        <v>3260</v>
      </c>
      <c r="J551" s="4" t="s">
        <v>3261</v>
      </c>
    </row>
    <row r="552">
      <c r="A552" s="1">
        <v>551.0</v>
      </c>
      <c r="B552" s="1" t="s">
        <v>3255</v>
      </c>
      <c r="C552" s="1" t="s">
        <v>3256</v>
      </c>
      <c r="E552" s="1" t="s">
        <v>3257</v>
      </c>
      <c r="F552" s="2" t="s">
        <v>3262</v>
      </c>
      <c r="G552" s="2" t="s">
        <v>3263</v>
      </c>
      <c r="H552" s="3" t="str">
        <f t="shared" si="1"/>
        <v>#NAME?</v>
      </c>
      <c r="I552" s="2" t="s">
        <v>3264</v>
      </c>
      <c r="J552" s="4" t="s">
        <v>3261</v>
      </c>
    </row>
    <row r="553">
      <c r="A553" s="1">
        <v>552.0</v>
      </c>
      <c r="B553" s="1" t="s">
        <v>3265</v>
      </c>
      <c r="C553" s="1" t="s">
        <v>3266</v>
      </c>
      <c r="E553" s="1" t="s">
        <v>3267</v>
      </c>
      <c r="F553" s="2" t="s">
        <v>3268</v>
      </c>
      <c r="G553" s="2" t="s">
        <v>3269</v>
      </c>
      <c r="H553" s="3" t="str">
        <f t="shared" si="1"/>
        <v>#NAME?</v>
      </c>
      <c r="I553" s="2" t="s">
        <v>3270</v>
      </c>
      <c r="J553" s="4" t="s">
        <v>3271</v>
      </c>
    </row>
    <row r="554">
      <c r="A554" s="1">
        <v>553.0</v>
      </c>
      <c r="B554" s="1" t="s">
        <v>3265</v>
      </c>
      <c r="C554" s="1" t="s">
        <v>3272</v>
      </c>
      <c r="E554" s="1" t="s">
        <v>3273</v>
      </c>
      <c r="F554" s="2" t="s">
        <v>3274</v>
      </c>
      <c r="G554" s="2" t="s">
        <v>3275</v>
      </c>
      <c r="H554" s="3" t="str">
        <f t="shared" si="1"/>
        <v>#NAME?</v>
      </c>
      <c r="I554" s="2" t="s">
        <v>3276</v>
      </c>
      <c r="J554" s="4" t="s">
        <v>3271</v>
      </c>
    </row>
    <row r="555">
      <c r="A555" s="1">
        <v>554.0</v>
      </c>
      <c r="B555" s="1" t="s">
        <v>3265</v>
      </c>
      <c r="C555" s="1" t="s">
        <v>3277</v>
      </c>
      <c r="E555" s="1" t="s">
        <v>3278</v>
      </c>
      <c r="F555" s="2" t="s">
        <v>3279</v>
      </c>
      <c r="G555" s="2" t="s">
        <v>3280</v>
      </c>
      <c r="H555" s="3" t="str">
        <f t="shared" si="1"/>
        <v>#NAME?</v>
      </c>
      <c r="I555" s="2" t="s">
        <v>3281</v>
      </c>
      <c r="J555" s="4" t="s">
        <v>3271</v>
      </c>
    </row>
    <row r="556">
      <c r="A556" s="1">
        <v>555.0</v>
      </c>
      <c r="B556" s="1" t="s">
        <v>3265</v>
      </c>
      <c r="C556" s="1" t="s">
        <v>3282</v>
      </c>
      <c r="E556" s="1" t="s">
        <v>3283</v>
      </c>
      <c r="F556" s="2" t="s">
        <v>3284</v>
      </c>
      <c r="G556" s="2" t="s">
        <v>3285</v>
      </c>
      <c r="H556" s="3" t="str">
        <f t="shared" si="1"/>
        <v>#NAME?</v>
      </c>
      <c r="I556" s="2" t="s">
        <v>3286</v>
      </c>
      <c r="J556" s="4" t="s">
        <v>3271</v>
      </c>
    </row>
    <row r="557">
      <c r="A557" s="1">
        <v>556.0</v>
      </c>
      <c r="B557" s="1" t="s">
        <v>3287</v>
      </c>
      <c r="C557" s="1" t="s">
        <v>3288</v>
      </c>
      <c r="E557" s="1" t="s">
        <v>3289</v>
      </c>
      <c r="F557" s="2" t="s">
        <v>3290</v>
      </c>
      <c r="G557" s="2" t="s">
        <v>3291</v>
      </c>
      <c r="H557" s="3" t="str">
        <f t="shared" si="1"/>
        <v>#NAME?</v>
      </c>
      <c r="I557" s="2" t="s">
        <v>3292</v>
      </c>
      <c r="J557" s="4" t="s">
        <v>3293</v>
      </c>
    </row>
    <row r="558">
      <c r="A558" s="1">
        <v>557.0</v>
      </c>
      <c r="B558" s="1" t="s">
        <v>3287</v>
      </c>
      <c r="C558" s="1" t="s">
        <v>3294</v>
      </c>
      <c r="E558" s="1" t="s">
        <v>3295</v>
      </c>
      <c r="F558" s="2" t="s">
        <v>3290</v>
      </c>
      <c r="G558" s="2" t="s">
        <v>3296</v>
      </c>
      <c r="H558" s="3" t="str">
        <f t="shared" si="1"/>
        <v>#NAME?</v>
      </c>
      <c r="I558" s="2" t="s">
        <v>3297</v>
      </c>
      <c r="J558" s="4" t="s">
        <v>3293</v>
      </c>
    </row>
    <row r="559">
      <c r="A559" s="1">
        <v>558.0</v>
      </c>
      <c r="B559" s="1" t="s">
        <v>3287</v>
      </c>
      <c r="C559" s="1" t="s">
        <v>3298</v>
      </c>
      <c r="E559" s="1" t="s">
        <v>3299</v>
      </c>
      <c r="F559" s="2" t="s">
        <v>3300</v>
      </c>
      <c r="G559" s="2" t="s">
        <v>3301</v>
      </c>
      <c r="H559" s="3" t="str">
        <f t="shared" si="1"/>
        <v>#NAME?</v>
      </c>
      <c r="I559" s="2" t="s">
        <v>3302</v>
      </c>
      <c r="J559" s="4" t="s">
        <v>3293</v>
      </c>
    </row>
    <row r="560">
      <c r="A560" s="1">
        <v>559.0</v>
      </c>
      <c r="B560" s="1" t="s">
        <v>3303</v>
      </c>
      <c r="C560" s="1" t="s">
        <v>3304</v>
      </c>
      <c r="E560" s="1" t="s">
        <v>3305</v>
      </c>
      <c r="F560" s="2" t="s">
        <v>3306</v>
      </c>
      <c r="G560" s="2" t="s">
        <v>3307</v>
      </c>
      <c r="H560" s="3" t="str">
        <f t="shared" si="1"/>
        <v>#NAME?</v>
      </c>
      <c r="I560" s="2" t="s">
        <v>3308</v>
      </c>
      <c r="J560" s="4" t="s">
        <v>3309</v>
      </c>
    </row>
    <row r="561">
      <c r="A561" s="1">
        <v>560.0</v>
      </c>
      <c r="B561" s="1" t="s">
        <v>3303</v>
      </c>
      <c r="C561" s="1" t="s">
        <v>3310</v>
      </c>
      <c r="E561" s="1" t="s">
        <v>3311</v>
      </c>
      <c r="F561" s="2" t="s">
        <v>3312</v>
      </c>
      <c r="G561" s="2" t="s">
        <v>3313</v>
      </c>
      <c r="H561" s="3" t="str">
        <f t="shared" si="1"/>
        <v>#NAME?</v>
      </c>
      <c r="I561" s="2" t="s">
        <v>3314</v>
      </c>
      <c r="J561" s="4" t="s">
        <v>3309</v>
      </c>
    </row>
    <row r="562">
      <c r="A562" s="1">
        <v>561.0</v>
      </c>
      <c r="B562" s="1" t="s">
        <v>3315</v>
      </c>
      <c r="C562" s="1" t="s">
        <v>3316</v>
      </c>
      <c r="E562" s="1" t="s">
        <v>3317</v>
      </c>
      <c r="F562" s="2" t="s">
        <v>3318</v>
      </c>
      <c r="G562" s="2" t="s">
        <v>3319</v>
      </c>
      <c r="H562" s="3" t="str">
        <f t="shared" si="1"/>
        <v>#NAME?</v>
      </c>
      <c r="I562" s="2" t="s">
        <v>3320</v>
      </c>
      <c r="J562" s="4" t="s">
        <v>3321</v>
      </c>
    </row>
    <row r="563">
      <c r="A563" s="1">
        <v>562.0</v>
      </c>
      <c r="B563" s="1" t="s">
        <v>3322</v>
      </c>
      <c r="C563" s="1" t="s">
        <v>3323</v>
      </c>
      <c r="E563" s="1" t="s">
        <v>3324</v>
      </c>
      <c r="F563" s="2" t="s">
        <v>3325</v>
      </c>
      <c r="G563" s="2" t="s">
        <v>3326</v>
      </c>
      <c r="H563" s="3" t="str">
        <f t="shared" si="1"/>
        <v>#NAME?</v>
      </c>
      <c r="I563" s="2">
        <v>3.14</v>
      </c>
    </row>
    <row r="564">
      <c r="A564" s="1">
        <v>563.0</v>
      </c>
      <c r="B564" s="1" t="s">
        <v>3327</v>
      </c>
      <c r="C564" s="1" t="s">
        <v>3328</v>
      </c>
      <c r="E564" s="1" t="s">
        <v>3329</v>
      </c>
      <c r="F564" s="2" t="s">
        <v>3330</v>
      </c>
      <c r="G564" s="2" t="s">
        <v>3331</v>
      </c>
      <c r="H564" s="3" t="str">
        <f t="shared" si="1"/>
        <v>#NAME?</v>
      </c>
      <c r="I564" s="13">
        <v>45296.0</v>
      </c>
    </row>
    <row r="565">
      <c r="A565" s="1">
        <v>564.0</v>
      </c>
      <c r="B565" s="1" t="s">
        <v>3327</v>
      </c>
      <c r="C565" s="1" t="s">
        <v>3332</v>
      </c>
      <c r="E565" s="1" t="s">
        <v>3333</v>
      </c>
      <c r="F565" s="2" t="s">
        <v>3334</v>
      </c>
      <c r="G565" s="2" t="s">
        <v>3335</v>
      </c>
      <c r="H565" s="3" t="str">
        <f t="shared" si="1"/>
        <v>#NAME?</v>
      </c>
      <c r="I565" s="2" t="s">
        <v>3336</v>
      </c>
    </row>
    <row r="566">
      <c r="A566" s="1">
        <v>565.0</v>
      </c>
      <c r="B566" s="1" t="s">
        <v>3337</v>
      </c>
      <c r="C566" s="1" t="s">
        <v>3338</v>
      </c>
      <c r="E566" s="1" t="s">
        <v>3339</v>
      </c>
      <c r="F566" s="2" t="s">
        <v>3340</v>
      </c>
      <c r="G566" s="2" t="s">
        <v>3341</v>
      </c>
      <c r="H566" s="3" t="str">
        <f t="shared" si="1"/>
        <v>#NAME?</v>
      </c>
      <c r="I566" s="2" t="s">
        <v>3342</v>
      </c>
    </row>
    <row r="567">
      <c r="A567" s="1">
        <v>566.0</v>
      </c>
      <c r="B567" s="1" t="s">
        <v>3343</v>
      </c>
      <c r="C567" s="1" t="s">
        <v>3344</v>
      </c>
      <c r="E567" s="1" t="s">
        <v>3345</v>
      </c>
      <c r="F567" s="2" t="s">
        <v>3346</v>
      </c>
      <c r="G567" s="2" t="s">
        <v>3347</v>
      </c>
      <c r="H567" s="3" t="str">
        <f t="shared" si="1"/>
        <v>#NAME?</v>
      </c>
      <c r="I567" s="2" t="s">
        <v>3348</v>
      </c>
    </row>
    <row r="568">
      <c r="A568" s="1">
        <v>567.0</v>
      </c>
      <c r="B568" s="1" t="s">
        <v>3349</v>
      </c>
      <c r="C568" s="1" t="s">
        <v>3350</v>
      </c>
      <c r="E568" s="1" t="s">
        <v>3351</v>
      </c>
      <c r="F568" s="2" t="s">
        <v>3352</v>
      </c>
      <c r="G568" s="2" t="s">
        <v>3353</v>
      </c>
      <c r="H568" s="3" t="str">
        <f t="shared" si="1"/>
        <v>#NAME?</v>
      </c>
      <c r="I568" s="2" t="s">
        <v>3354</v>
      </c>
    </row>
    <row r="569">
      <c r="A569" s="1">
        <v>568.0</v>
      </c>
      <c r="B569" s="1" t="s">
        <v>3355</v>
      </c>
      <c r="C569" s="1" t="s">
        <v>3356</v>
      </c>
      <c r="E569" s="1" t="s">
        <v>3357</v>
      </c>
      <c r="F569" s="2" t="s">
        <v>3358</v>
      </c>
      <c r="G569" s="2" t="s">
        <v>3359</v>
      </c>
      <c r="H569" s="3" t="str">
        <f t="shared" si="1"/>
        <v>#NAME?</v>
      </c>
      <c r="I569" s="2" t="s">
        <v>3360</v>
      </c>
    </row>
    <row r="570">
      <c r="A570" s="1">
        <v>569.0</v>
      </c>
      <c r="B570" s="1" t="s">
        <v>3355</v>
      </c>
      <c r="C570" s="1" t="s">
        <v>3361</v>
      </c>
      <c r="E570" s="1" t="s">
        <v>3362</v>
      </c>
      <c r="F570" s="2" t="s">
        <v>3363</v>
      </c>
      <c r="G570" s="2" t="s">
        <v>3364</v>
      </c>
      <c r="H570" s="3" t="str">
        <f t="shared" si="1"/>
        <v>#NAME?</v>
      </c>
      <c r="I570" s="2" t="s">
        <v>3365</v>
      </c>
    </row>
    <row r="571">
      <c r="A571" s="1">
        <v>570.0</v>
      </c>
      <c r="B571" s="1" t="s">
        <v>3366</v>
      </c>
      <c r="C571" s="1" t="s">
        <v>3367</v>
      </c>
      <c r="E571" s="1" t="s">
        <v>3368</v>
      </c>
      <c r="F571" s="2" t="s">
        <v>3369</v>
      </c>
      <c r="G571" s="2" t="s">
        <v>3370</v>
      </c>
      <c r="H571" s="3" t="str">
        <f t="shared" si="1"/>
        <v>#NAME?</v>
      </c>
      <c r="I571" s="2" t="s">
        <v>3371</v>
      </c>
    </row>
    <row r="572">
      <c r="A572" s="1">
        <v>571.0</v>
      </c>
      <c r="B572" s="1" t="s">
        <v>3372</v>
      </c>
      <c r="C572" s="1" t="s">
        <v>3373</v>
      </c>
      <c r="E572" s="1" t="s">
        <v>3374</v>
      </c>
      <c r="F572" s="2" t="s">
        <v>3375</v>
      </c>
      <c r="G572" s="2" t="s">
        <v>3376</v>
      </c>
      <c r="H572" s="3" t="str">
        <f t="shared" si="1"/>
        <v>#NAME?</v>
      </c>
      <c r="I572" s="2" t="s">
        <v>3377</v>
      </c>
    </row>
    <row r="573">
      <c r="A573" s="1">
        <v>572.0</v>
      </c>
      <c r="B573" s="1" t="s">
        <v>3378</v>
      </c>
      <c r="C573" s="1" t="s">
        <v>3379</v>
      </c>
      <c r="E573" s="1" t="s">
        <v>3380</v>
      </c>
      <c r="F573" s="2" t="s">
        <v>3381</v>
      </c>
      <c r="G573" s="2" t="s">
        <v>3382</v>
      </c>
      <c r="H573" s="3" t="str">
        <f t="shared" si="1"/>
        <v>#NAME?</v>
      </c>
      <c r="I573" s="2" t="s">
        <v>3383</v>
      </c>
    </row>
    <row r="574">
      <c r="A574" s="1">
        <v>573.0</v>
      </c>
      <c r="B574" s="1" t="s">
        <v>3384</v>
      </c>
      <c r="C574" s="1" t="s">
        <v>3385</v>
      </c>
      <c r="E574" s="1" t="s">
        <v>3386</v>
      </c>
      <c r="F574" s="2" t="s">
        <v>3387</v>
      </c>
      <c r="G574" s="2" t="s">
        <v>3388</v>
      </c>
      <c r="H574" s="3" t="str">
        <f t="shared" si="1"/>
        <v>#NAME?</v>
      </c>
      <c r="I574" s="2" t="s">
        <v>3389</v>
      </c>
    </row>
    <row r="575">
      <c r="A575" s="1">
        <v>574.0</v>
      </c>
      <c r="B575" s="1" t="s">
        <v>3390</v>
      </c>
      <c r="C575" s="1" t="s">
        <v>3391</v>
      </c>
      <c r="E575" s="1" t="s">
        <v>3392</v>
      </c>
      <c r="F575" s="2" t="s">
        <v>3393</v>
      </c>
      <c r="G575" s="2" t="s">
        <v>3394</v>
      </c>
      <c r="H575" s="3" t="str">
        <f t="shared" si="1"/>
        <v>#NAME?</v>
      </c>
      <c r="I575" s="2" t="s">
        <v>3395</v>
      </c>
    </row>
    <row r="576">
      <c r="A576" s="1">
        <v>575.0</v>
      </c>
      <c r="B576" s="1" t="s">
        <v>3396</v>
      </c>
      <c r="C576" s="1" t="s">
        <v>3397</v>
      </c>
      <c r="E576" s="1" t="s">
        <v>3398</v>
      </c>
      <c r="F576" s="2" t="s">
        <v>3399</v>
      </c>
      <c r="G576" s="2" t="s">
        <v>3400</v>
      </c>
      <c r="H576" s="3" t="str">
        <f t="shared" si="1"/>
        <v>#NAME?</v>
      </c>
      <c r="I576" s="2" t="s">
        <v>3401</v>
      </c>
    </row>
    <row r="577">
      <c r="A577" s="1">
        <v>576.0</v>
      </c>
      <c r="B577" s="1" t="s">
        <v>3402</v>
      </c>
      <c r="C577" s="1" t="s">
        <v>3403</v>
      </c>
      <c r="E577" s="1" t="s">
        <v>3404</v>
      </c>
      <c r="F577" s="2" t="s">
        <v>1632</v>
      </c>
      <c r="G577" s="2" t="s">
        <v>3405</v>
      </c>
      <c r="H577" s="3" t="str">
        <f t="shared" si="1"/>
        <v>#NAME?</v>
      </c>
      <c r="I577" s="2" t="s">
        <v>3406</v>
      </c>
    </row>
    <row r="578">
      <c r="A578" s="1">
        <v>577.0</v>
      </c>
      <c r="B578" s="1" t="s">
        <v>3407</v>
      </c>
      <c r="C578" s="1" t="s">
        <v>3408</v>
      </c>
      <c r="E578" s="1" t="s">
        <v>3409</v>
      </c>
      <c r="F578" s="2" t="s">
        <v>3410</v>
      </c>
      <c r="G578" s="2" t="s">
        <v>3411</v>
      </c>
      <c r="H578" s="3" t="str">
        <f t="shared" si="1"/>
        <v>#NAME?</v>
      </c>
      <c r="I578" s="2" t="s">
        <v>3412</v>
      </c>
    </row>
    <row r="579">
      <c r="A579" s="1">
        <v>578.0</v>
      </c>
      <c r="B579" s="1" t="s">
        <v>3413</v>
      </c>
      <c r="C579" s="1" t="s">
        <v>3414</v>
      </c>
      <c r="E579" s="1" t="s">
        <v>3415</v>
      </c>
      <c r="F579" s="2" t="s">
        <v>3416</v>
      </c>
      <c r="G579" s="2" t="s">
        <v>3417</v>
      </c>
      <c r="H579" s="3" t="str">
        <f t="shared" si="1"/>
        <v>#NAME?</v>
      </c>
      <c r="I579" s="2" t="s">
        <v>3418</v>
      </c>
    </row>
    <row r="580">
      <c r="A580" s="1">
        <v>579.0</v>
      </c>
      <c r="B580" s="1" t="s">
        <v>3419</v>
      </c>
      <c r="C580" s="1" t="s">
        <v>3420</v>
      </c>
      <c r="E580" s="1" t="s">
        <v>3421</v>
      </c>
      <c r="F580" s="2" t="s">
        <v>3422</v>
      </c>
      <c r="G580" s="2" t="s">
        <v>3423</v>
      </c>
      <c r="H580" s="3" t="str">
        <f t="shared" si="1"/>
        <v>#NAME?</v>
      </c>
      <c r="I580" s="2" t="s">
        <v>3424</v>
      </c>
      <c r="J580" s="4" t="s">
        <v>3425</v>
      </c>
    </row>
    <row r="581">
      <c r="A581" s="1">
        <v>580.0</v>
      </c>
      <c r="B581" s="1" t="s">
        <v>3426</v>
      </c>
      <c r="C581" s="1" t="s">
        <v>3427</v>
      </c>
      <c r="E581" s="1" t="s">
        <v>3428</v>
      </c>
      <c r="F581" s="2" t="s">
        <v>3429</v>
      </c>
      <c r="G581" s="2" t="s">
        <v>3430</v>
      </c>
      <c r="H581" s="3" t="str">
        <f t="shared" si="1"/>
        <v>#NAME?</v>
      </c>
      <c r="I581" s="2" t="s">
        <v>3431</v>
      </c>
      <c r="J581" s="4" t="s">
        <v>3432</v>
      </c>
    </row>
    <row r="582">
      <c r="A582" s="1">
        <v>581.0</v>
      </c>
      <c r="B582" s="1" t="s">
        <v>3433</v>
      </c>
      <c r="C582" s="1" t="s">
        <v>3434</v>
      </c>
      <c r="E582" s="1" t="s">
        <v>3435</v>
      </c>
      <c r="F582" s="2" t="s">
        <v>3436</v>
      </c>
      <c r="G582" s="2" t="s">
        <v>3437</v>
      </c>
      <c r="H582" s="3" t="str">
        <f t="shared" si="1"/>
        <v>#NAME?</v>
      </c>
      <c r="I582" s="2" t="s">
        <v>3438</v>
      </c>
      <c r="J582" s="4" t="s">
        <v>3439</v>
      </c>
    </row>
    <row r="583">
      <c r="A583" s="1">
        <v>582.0</v>
      </c>
      <c r="B583" s="1" t="s">
        <v>3440</v>
      </c>
      <c r="C583" s="1" t="s">
        <v>3441</v>
      </c>
      <c r="E583" s="1" t="s">
        <v>3442</v>
      </c>
      <c r="F583" s="2" t="s">
        <v>3443</v>
      </c>
      <c r="G583" s="2" t="s">
        <v>3444</v>
      </c>
      <c r="H583" s="3" t="str">
        <f t="shared" si="1"/>
        <v>#NAME?</v>
      </c>
      <c r="I583" s="2" t="s">
        <v>3445</v>
      </c>
      <c r="J583" s="4" t="s">
        <v>3446</v>
      </c>
    </row>
    <row r="584">
      <c r="A584" s="1">
        <v>583.0</v>
      </c>
      <c r="B584" s="1" t="s">
        <v>3447</v>
      </c>
      <c r="C584" s="1" t="s">
        <v>3448</v>
      </c>
      <c r="E584" s="1" t="s">
        <v>3449</v>
      </c>
      <c r="F584" s="2" t="s">
        <v>3450</v>
      </c>
      <c r="G584" s="2" t="s">
        <v>3451</v>
      </c>
      <c r="H584" s="3" t="str">
        <f t="shared" si="1"/>
        <v>#NAME?</v>
      </c>
      <c r="I584" s="2" t="s">
        <v>3452</v>
      </c>
      <c r="J584" s="4" t="s">
        <v>3453</v>
      </c>
    </row>
    <row r="585">
      <c r="A585" s="1">
        <v>584.0</v>
      </c>
      <c r="B585" s="1" t="s">
        <v>3454</v>
      </c>
      <c r="C585" s="1" t="s">
        <v>3455</v>
      </c>
      <c r="E585" s="1" t="s">
        <v>3456</v>
      </c>
      <c r="F585" s="2" t="s">
        <v>3457</v>
      </c>
      <c r="G585" s="2" t="s">
        <v>3458</v>
      </c>
      <c r="H585" s="3" t="str">
        <f t="shared" si="1"/>
        <v>#NAME?</v>
      </c>
      <c r="I585" s="2" t="s">
        <v>3459</v>
      </c>
      <c r="J585" s="4" t="s">
        <v>3460</v>
      </c>
    </row>
    <row r="586">
      <c r="A586" s="1">
        <v>585.0</v>
      </c>
      <c r="B586" s="1" t="s">
        <v>3461</v>
      </c>
      <c r="C586" s="1" t="s">
        <v>3462</v>
      </c>
      <c r="E586" s="1" t="s">
        <v>3463</v>
      </c>
      <c r="F586" s="2" t="s">
        <v>3464</v>
      </c>
      <c r="G586" s="2" t="s">
        <v>3465</v>
      </c>
      <c r="H586" s="3" t="str">
        <f t="shared" si="1"/>
        <v>#NAME?</v>
      </c>
      <c r="I586" s="2" t="s">
        <v>3466</v>
      </c>
      <c r="J586" s="4" t="s">
        <v>3467</v>
      </c>
    </row>
    <row r="587">
      <c r="A587" s="1">
        <v>586.0</v>
      </c>
      <c r="B587" s="1" t="s">
        <v>3461</v>
      </c>
      <c r="C587" s="1" t="s">
        <v>3468</v>
      </c>
      <c r="E587" s="1" t="s">
        <v>3469</v>
      </c>
      <c r="F587" s="2" t="s">
        <v>3470</v>
      </c>
      <c r="G587" s="2" t="s">
        <v>3471</v>
      </c>
      <c r="H587" s="3" t="str">
        <f t="shared" si="1"/>
        <v>#NAME?</v>
      </c>
      <c r="I587" s="2" t="s">
        <v>3472</v>
      </c>
      <c r="J587" s="4" t="s">
        <v>3467</v>
      </c>
    </row>
    <row r="588">
      <c r="A588" s="1">
        <v>587.0</v>
      </c>
      <c r="B588" s="1" t="s">
        <v>3461</v>
      </c>
      <c r="C588" s="1" t="s">
        <v>3473</v>
      </c>
      <c r="E588" s="1" t="s">
        <v>3474</v>
      </c>
      <c r="F588" s="2" t="s">
        <v>3475</v>
      </c>
      <c r="G588" s="2" t="s">
        <v>3476</v>
      </c>
      <c r="H588" s="3" t="str">
        <f t="shared" si="1"/>
        <v>#NAME?</v>
      </c>
      <c r="I588" s="2" t="s">
        <v>3477</v>
      </c>
      <c r="J588" s="4" t="s">
        <v>3478</v>
      </c>
    </row>
    <row r="589">
      <c r="A589" s="1">
        <v>588.0</v>
      </c>
      <c r="B589" s="1" t="s">
        <v>3479</v>
      </c>
      <c r="C589" s="1" t="s">
        <v>3480</v>
      </c>
      <c r="E589" s="1" t="s">
        <v>3481</v>
      </c>
      <c r="F589" s="2" t="s">
        <v>3482</v>
      </c>
      <c r="G589" s="2" t="s">
        <v>3483</v>
      </c>
      <c r="H589" s="3" t="str">
        <f t="shared" si="1"/>
        <v>#NAME?</v>
      </c>
      <c r="I589" s="2" t="s">
        <v>3484</v>
      </c>
      <c r="J589" s="4" t="s">
        <v>3478</v>
      </c>
    </row>
    <row r="590">
      <c r="A590" s="1">
        <v>589.0</v>
      </c>
      <c r="B590" s="1" t="s">
        <v>3485</v>
      </c>
      <c r="C590" s="1" t="s">
        <v>3486</v>
      </c>
      <c r="E590" s="1" t="s">
        <v>3487</v>
      </c>
      <c r="F590" s="2" t="s">
        <v>3488</v>
      </c>
      <c r="G590" s="2" t="s">
        <v>3489</v>
      </c>
      <c r="H590" s="3" t="str">
        <f t="shared" si="1"/>
        <v>#NAME?</v>
      </c>
      <c r="I590" s="2" t="s">
        <v>3490</v>
      </c>
      <c r="J590" s="4" t="s">
        <v>3491</v>
      </c>
    </row>
    <row r="591">
      <c r="A591" s="1">
        <v>590.0</v>
      </c>
      <c r="B591" s="1" t="s">
        <v>3492</v>
      </c>
      <c r="C591" s="1" t="s">
        <v>3493</v>
      </c>
      <c r="E591" s="1" t="s">
        <v>3494</v>
      </c>
      <c r="F591" s="2" t="s">
        <v>3495</v>
      </c>
      <c r="G591" s="2" t="s">
        <v>3496</v>
      </c>
      <c r="H591" s="3" t="str">
        <f t="shared" si="1"/>
        <v>#NAME?</v>
      </c>
      <c r="I591" s="2" t="s">
        <v>3497</v>
      </c>
      <c r="J591" s="4" t="s">
        <v>3498</v>
      </c>
    </row>
    <row r="592">
      <c r="A592" s="1">
        <v>591.0</v>
      </c>
      <c r="B592" s="1" t="s">
        <v>3499</v>
      </c>
      <c r="C592" s="1" t="s">
        <v>3500</v>
      </c>
      <c r="E592" s="1" t="s">
        <v>3501</v>
      </c>
      <c r="F592" s="2" t="s">
        <v>3502</v>
      </c>
      <c r="G592" s="2" t="s">
        <v>3503</v>
      </c>
      <c r="H592" s="3" t="str">
        <f t="shared" si="1"/>
        <v>#NAME?</v>
      </c>
      <c r="I592" s="2" t="s">
        <v>3504</v>
      </c>
      <c r="J592" s="4" t="s">
        <v>3505</v>
      </c>
    </row>
    <row r="593">
      <c r="A593" s="1">
        <v>592.0</v>
      </c>
      <c r="B593" s="1" t="s">
        <v>3506</v>
      </c>
      <c r="C593" s="1" t="s">
        <v>3507</v>
      </c>
      <c r="E593" s="1" t="s">
        <v>3508</v>
      </c>
      <c r="F593" s="2" t="s">
        <v>3509</v>
      </c>
      <c r="G593" s="2" t="s">
        <v>3510</v>
      </c>
      <c r="H593" s="3" t="str">
        <f t="shared" si="1"/>
        <v>#NAME?</v>
      </c>
      <c r="I593" s="2" t="s">
        <v>3511</v>
      </c>
      <c r="J593" s="4" t="s">
        <v>3512</v>
      </c>
    </row>
    <row r="594">
      <c r="A594" s="1">
        <v>593.0</v>
      </c>
      <c r="B594" s="1" t="s">
        <v>3506</v>
      </c>
      <c r="C594" s="1" t="s">
        <v>3513</v>
      </c>
      <c r="E594" s="1" t="s">
        <v>3514</v>
      </c>
      <c r="F594" s="2" t="s">
        <v>3515</v>
      </c>
      <c r="G594" s="2" t="s">
        <v>3516</v>
      </c>
      <c r="H594" s="3" t="str">
        <f t="shared" si="1"/>
        <v>#NAME?</v>
      </c>
      <c r="I594" s="2" t="s">
        <v>3517</v>
      </c>
      <c r="J594" s="4" t="s">
        <v>3512</v>
      </c>
    </row>
    <row r="595">
      <c r="A595" s="1">
        <v>594.0</v>
      </c>
      <c r="B595" s="1" t="s">
        <v>3518</v>
      </c>
      <c r="C595" s="1" t="s">
        <v>3519</v>
      </c>
      <c r="E595" s="1" t="s">
        <v>3520</v>
      </c>
      <c r="F595" s="2" t="s">
        <v>3521</v>
      </c>
      <c r="G595" s="2" t="s">
        <v>3522</v>
      </c>
      <c r="H595" s="3" t="str">
        <f t="shared" si="1"/>
        <v>#NAME?</v>
      </c>
      <c r="I595" s="2" t="s">
        <v>3523</v>
      </c>
      <c r="J595" s="4" t="s">
        <v>3524</v>
      </c>
    </row>
    <row r="596">
      <c r="A596" s="1">
        <v>595.0</v>
      </c>
      <c r="B596" s="1" t="s">
        <v>3525</v>
      </c>
      <c r="C596" s="1" t="s">
        <v>3526</v>
      </c>
      <c r="E596" s="1" t="s">
        <v>3527</v>
      </c>
      <c r="F596" s="2" t="s">
        <v>3528</v>
      </c>
      <c r="G596" s="2" t="s">
        <v>3529</v>
      </c>
      <c r="H596" s="3" t="str">
        <f t="shared" si="1"/>
        <v>#NAME?</v>
      </c>
      <c r="I596" s="2" t="s">
        <v>3530</v>
      </c>
      <c r="J596" s="4" t="s">
        <v>3531</v>
      </c>
    </row>
    <row r="597">
      <c r="A597" s="1">
        <v>596.0</v>
      </c>
      <c r="B597" s="1" t="s">
        <v>3532</v>
      </c>
      <c r="C597" s="1" t="s">
        <v>3533</v>
      </c>
      <c r="E597" s="1" t="s">
        <v>3534</v>
      </c>
      <c r="F597" s="2" t="s">
        <v>3284</v>
      </c>
      <c r="G597" s="2" t="s">
        <v>3535</v>
      </c>
      <c r="H597" s="3" t="str">
        <f t="shared" si="1"/>
        <v>#NAME?</v>
      </c>
      <c r="I597" s="2" t="s">
        <v>3536</v>
      </c>
      <c r="J597" s="4" t="s">
        <v>3537</v>
      </c>
    </row>
    <row r="598">
      <c r="A598" s="1">
        <v>597.0</v>
      </c>
      <c r="B598" s="1" t="s">
        <v>3538</v>
      </c>
      <c r="C598" s="1" t="s">
        <v>3539</v>
      </c>
      <c r="E598" s="1" t="s">
        <v>3540</v>
      </c>
      <c r="F598" s="2" t="s">
        <v>3521</v>
      </c>
      <c r="G598" s="2" t="s">
        <v>3541</v>
      </c>
      <c r="H598" s="3" t="str">
        <f t="shared" si="1"/>
        <v>#NAME?</v>
      </c>
      <c r="I598" s="2" t="s">
        <v>3542</v>
      </c>
      <c r="J598" s="4" t="s">
        <v>3543</v>
      </c>
    </row>
    <row r="599">
      <c r="A599" s="1">
        <v>598.0</v>
      </c>
      <c r="B599" s="1" t="s">
        <v>3544</v>
      </c>
      <c r="C599" s="1" t="s">
        <v>3545</v>
      </c>
      <c r="E599" s="1" t="s">
        <v>3546</v>
      </c>
      <c r="F599" s="2" t="s">
        <v>3547</v>
      </c>
      <c r="G599" s="2" t="s">
        <v>3548</v>
      </c>
      <c r="H599" s="3" t="str">
        <f t="shared" si="1"/>
        <v>#NAME?</v>
      </c>
      <c r="I599" s="2" t="s">
        <v>3549</v>
      </c>
      <c r="J599" s="4" t="s">
        <v>3550</v>
      </c>
    </row>
    <row r="600">
      <c r="A600" s="1">
        <v>599.0</v>
      </c>
      <c r="B600" s="1" t="s">
        <v>3551</v>
      </c>
      <c r="C600" s="1" t="s">
        <v>3552</v>
      </c>
      <c r="E600" s="1" t="s">
        <v>3553</v>
      </c>
      <c r="F600" s="2" t="s">
        <v>3554</v>
      </c>
      <c r="G600" s="2" t="s">
        <v>3555</v>
      </c>
      <c r="H600" s="3" t="str">
        <f t="shared" si="1"/>
        <v>#NAME?</v>
      </c>
      <c r="I600" s="2" t="s">
        <v>3556</v>
      </c>
      <c r="J600" s="4" t="s">
        <v>3557</v>
      </c>
    </row>
    <row r="601">
      <c r="A601" s="1">
        <v>600.0</v>
      </c>
      <c r="B601" s="1" t="s">
        <v>3551</v>
      </c>
      <c r="C601" s="1" t="s">
        <v>3558</v>
      </c>
      <c r="E601" s="1" t="s">
        <v>3559</v>
      </c>
      <c r="F601" s="2" t="s">
        <v>3560</v>
      </c>
      <c r="G601" s="2" t="s">
        <v>3561</v>
      </c>
      <c r="H601" s="3" t="str">
        <f t="shared" si="1"/>
        <v>#NAME?</v>
      </c>
      <c r="I601" s="2" t="s">
        <v>3562</v>
      </c>
      <c r="J601" s="4" t="s">
        <v>3557</v>
      </c>
    </row>
    <row r="602">
      <c r="A602" s="1">
        <v>601.0</v>
      </c>
      <c r="B602" s="1" t="s">
        <v>3563</v>
      </c>
      <c r="C602" s="1" t="s">
        <v>3564</v>
      </c>
      <c r="E602" s="1" t="s">
        <v>3565</v>
      </c>
      <c r="F602" s="2" t="s">
        <v>3566</v>
      </c>
      <c r="G602" s="2" t="s">
        <v>3567</v>
      </c>
      <c r="H602" s="3" t="str">
        <f t="shared" si="1"/>
        <v>#NAME?</v>
      </c>
      <c r="I602" s="2" t="s">
        <v>3568</v>
      </c>
      <c r="J602" s="4" t="s">
        <v>3569</v>
      </c>
    </row>
    <row r="603">
      <c r="A603" s="1">
        <v>602.0</v>
      </c>
      <c r="B603" s="1" t="s">
        <v>3563</v>
      </c>
      <c r="C603" s="1" t="s">
        <v>3570</v>
      </c>
      <c r="E603" s="1" t="s">
        <v>3571</v>
      </c>
      <c r="F603" s="2" t="s">
        <v>3572</v>
      </c>
      <c r="G603" s="2" t="s">
        <v>3573</v>
      </c>
      <c r="H603" s="3" t="str">
        <f t="shared" si="1"/>
        <v>#NAME?</v>
      </c>
      <c r="I603" s="2" t="s">
        <v>3574</v>
      </c>
      <c r="J603" s="4" t="s">
        <v>3569</v>
      </c>
    </row>
    <row r="604">
      <c r="A604" s="1">
        <v>603.0</v>
      </c>
      <c r="B604" s="1" t="s">
        <v>3575</v>
      </c>
      <c r="C604" s="1" t="s">
        <v>3576</v>
      </c>
      <c r="E604" s="1" t="s">
        <v>3577</v>
      </c>
      <c r="F604" s="2" t="s">
        <v>3578</v>
      </c>
      <c r="G604" s="2" t="s">
        <v>3579</v>
      </c>
      <c r="H604" s="3" t="str">
        <f t="shared" si="1"/>
        <v>#NAME?</v>
      </c>
      <c r="I604" s="2" t="s">
        <v>3580</v>
      </c>
      <c r="J604" s="4" t="s">
        <v>3581</v>
      </c>
    </row>
    <row r="605">
      <c r="A605" s="1">
        <v>604.0</v>
      </c>
      <c r="B605" s="1" t="s">
        <v>3582</v>
      </c>
      <c r="C605" s="1" t="s">
        <v>2789</v>
      </c>
      <c r="E605" s="1" t="s">
        <v>2790</v>
      </c>
      <c r="F605" s="2" t="s">
        <v>3583</v>
      </c>
      <c r="G605" s="2" t="s">
        <v>3584</v>
      </c>
      <c r="H605" s="3" t="str">
        <f t="shared" si="1"/>
        <v>#NAME?</v>
      </c>
      <c r="I605" s="2" t="s">
        <v>3585</v>
      </c>
      <c r="J605" s="4" t="s">
        <v>3586</v>
      </c>
    </row>
    <row r="606">
      <c r="A606" s="1">
        <v>605.0</v>
      </c>
      <c r="B606" s="1" t="s">
        <v>3587</v>
      </c>
      <c r="C606" s="1" t="s">
        <v>3588</v>
      </c>
      <c r="E606" s="1" t="s">
        <v>3589</v>
      </c>
      <c r="F606" s="2" t="s">
        <v>3590</v>
      </c>
      <c r="G606" s="2" t="s">
        <v>3591</v>
      </c>
      <c r="H606" s="3" t="str">
        <f t="shared" si="1"/>
        <v>#NAME?</v>
      </c>
      <c r="I606" s="2" t="s">
        <v>3592</v>
      </c>
      <c r="J606" s="4" t="s">
        <v>3593</v>
      </c>
    </row>
    <row r="607">
      <c r="A607" s="1">
        <v>606.0</v>
      </c>
      <c r="B607" s="1" t="s">
        <v>3594</v>
      </c>
      <c r="C607" s="1" t="s">
        <v>3595</v>
      </c>
      <c r="E607" s="1" t="s">
        <v>3596</v>
      </c>
      <c r="F607" s="2" t="s">
        <v>1816</v>
      </c>
      <c r="G607" s="2" t="s">
        <v>3597</v>
      </c>
      <c r="H607" s="3" t="str">
        <f t="shared" si="1"/>
        <v>#NAME?</v>
      </c>
      <c r="I607" s="2" t="s">
        <v>3598</v>
      </c>
      <c r="J607" s="4" t="s">
        <v>3599</v>
      </c>
    </row>
    <row r="608">
      <c r="A608" s="1">
        <v>607.0</v>
      </c>
      <c r="B608" s="1" t="s">
        <v>3594</v>
      </c>
      <c r="C608" s="1" t="s">
        <v>3600</v>
      </c>
      <c r="E608" s="1" t="s">
        <v>3601</v>
      </c>
      <c r="F608" s="2" t="s">
        <v>3602</v>
      </c>
      <c r="G608" s="2" t="s">
        <v>3603</v>
      </c>
      <c r="H608" s="3" t="str">
        <f t="shared" si="1"/>
        <v>#NAME?</v>
      </c>
      <c r="I608" s="2" t="s">
        <v>3604</v>
      </c>
      <c r="J608" s="4" t="s">
        <v>3599</v>
      </c>
    </row>
    <row r="609">
      <c r="A609" s="1">
        <v>608.0</v>
      </c>
      <c r="B609" s="1" t="s">
        <v>3605</v>
      </c>
      <c r="C609" s="1" t="s">
        <v>3606</v>
      </c>
      <c r="E609" s="1" t="s">
        <v>3607</v>
      </c>
      <c r="F609" s="2" t="s">
        <v>3608</v>
      </c>
      <c r="G609" s="2" t="s">
        <v>3609</v>
      </c>
      <c r="H609" s="3" t="str">
        <f t="shared" si="1"/>
        <v>#NAME?</v>
      </c>
      <c r="I609" s="2" t="s">
        <v>3610</v>
      </c>
      <c r="J609" s="4" t="s">
        <v>3611</v>
      </c>
    </row>
    <row r="610">
      <c r="A610" s="1">
        <v>609.0</v>
      </c>
      <c r="B610" s="1" t="s">
        <v>3605</v>
      </c>
      <c r="C610" s="1" t="s">
        <v>3612</v>
      </c>
      <c r="E610" s="1" t="s">
        <v>3613</v>
      </c>
      <c r="F610" s="2" t="s">
        <v>3614</v>
      </c>
      <c r="G610" s="2" t="s">
        <v>3615</v>
      </c>
      <c r="H610" s="3" t="str">
        <f t="shared" si="1"/>
        <v>#NAME?</v>
      </c>
      <c r="I610" s="2" t="s">
        <v>3616</v>
      </c>
      <c r="J610" s="4" t="s">
        <v>3611</v>
      </c>
    </row>
    <row r="611">
      <c r="A611" s="1">
        <v>610.0</v>
      </c>
      <c r="B611" s="1" t="s">
        <v>3617</v>
      </c>
      <c r="C611" s="1" t="s">
        <v>3618</v>
      </c>
      <c r="E611" s="1" t="s">
        <v>3619</v>
      </c>
      <c r="F611" s="2" t="s">
        <v>3620</v>
      </c>
      <c r="G611" s="2" t="s">
        <v>3621</v>
      </c>
      <c r="H611" s="3" t="str">
        <f t="shared" si="1"/>
        <v>#NAME?</v>
      </c>
      <c r="I611" s="2" t="s">
        <v>3622</v>
      </c>
      <c r="J611" s="4" t="s">
        <v>3623</v>
      </c>
    </row>
    <row r="612">
      <c r="A612" s="1">
        <v>611.0</v>
      </c>
      <c r="B612" s="1" t="s">
        <v>3624</v>
      </c>
      <c r="C612" s="1" t="s">
        <v>3625</v>
      </c>
      <c r="E612" s="1" t="s">
        <v>3626</v>
      </c>
      <c r="F612" s="2" t="s">
        <v>3627</v>
      </c>
      <c r="G612" s="2" t="s">
        <v>3628</v>
      </c>
      <c r="H612" s="3" t="str">
        <f t="shared" si="1"/>
        <v>#NAME?</v>
      </c>
      <c r="I612" s="2" t="s">
        <v>3629</v>
      </c>
      <c r="J612" s="4" t="s">
        <v>3630</v>
      </c>
    </row>
    <row r="613">
      <c r="A613" s="1">
        <v>612.0</v>
      </c>
      <c r="B613" s="1" t="s">
        <v>3631</v>
      </c>
      <c r="C613" s="1" t="s">
        <v>3632</v>
      </c>
      <c r="E613" s="1" t="s">
        <v>3633</v>
      </c>
      <c r="F613" s="2" t="s">
        <v>3634</v>
      </c>
      <c r="G613" s="2" t="s">
        <v>3635</v>
      </c>
      <c r="H613" s="3" t="str">
        <f t="shared" si="1"/>
        <v>#NAME?</v>
      </c>
      <c r="I613" s="2" t="s">
        <v>3636</v>
      </c>
      <c r="J613" s="4" t="s">
        <v>3637</v>
      </c>
    </row>
    <row r="614">
      <c r="A614" s="1">
        <v>613.0</v>
      </c>
      <c r="B614" s="1" t="s">
        <v>3638</v>
      </c>
      <c r="C614" s="1" t="s">
        <v>3639</v>
      </c>
      <c r="E614" s="1" t="s">
        <v>3640</v>
      </c>
      <c r="F614" s="2" t="s">
        <v>3641</v>
      </c>
      <c r="G614" s="2" t="s">
        <v>3642</v>
      </c>
      <c r="H614" s="3" t="str">
        <f t="shared" si="1"/>
        <v>#NAME?</v>
      </c>
      <c r="I614" s="2" t="s">
        <v>3643</v>
      </c>
      <c r="J614" s="4" t="s">
        <v>3644</v>
      </c>
    </row>
    <row r="615">
      <c r="A615" s="1">
        <v>614.0</v>
      </c>
      <c r="B615" s="1" t="s">
        <v>3645</v>
      </c>
      <c r="C615" s="1" t="s">
        <v>3646</v>
      </c>
      <c r="E615" s="1" t="s">
        <v>3647</v>
      </c>
      <c r="F615" s="2" t="s">
        <v>3648</v>
      </c>
      <c r="G615" s="2" t="s">
        <v>3649</v>
      </c>
      <c r="H615" s="3" t="str">
        <f t="shared" si="1"/>
        <v>#NAME?</v>
      </c>
      <c r="I615" s="2" t="s">
        <v>3650</v>
      </c>
      <c r="J615" s="4" t="s">
        <v>3651</v>
      </c>
    </row>
    <row r="616">
      <c r="A616" s="1">
        <v>615.0</v>
      </c>
      <c r="B616" s="1" t="s">
        <v>3652</v>
      </c>
      <c r="C616" s="1" t="s">
        <v>3653</v>
      </c>
      <c r="E616" s="1" t="s">
        <v>3654</v>
      </c>
      <c r="F616" s="2" t="s">
        <v>3655</v>
      </c>
      <c r="G616" s="2" t="s">
        <v>3656</v>
      </c>
      <c r="H616" s="3" t="str">
        <f t="shared" si="1"/>
        <v>#NAME?</v>
      </c>
      <c r="I616" s="2" t="s">
        <v>3657</v>
      </c>
      <c r="J616" s="4" t="s">
        <v>3658</v>
      </c>
    </row>
    <row r="617">
      <c r="A617" s="1">
        <v>616.0</v>
      </c>
      <c r="B617" s="1" t="s">
        <v>3652</v>
      </c>
      <c r="C617" s="1" t="s">
        <v>3653</v>
      </c>
      <c r="E617" s="1" t="s">
        <v>3654</v>
      </c>
      <c r="F617" s="2" t="s">
        <v>3659</v>
      </c>
      <c r="G617" s="2" t="s">
        <v>3660</v>
      </c>
      <c r="H617" s="3" t="str">
        <f t="shared" si="1"/>
        <v>#NAME?</v>
      </c>
      <c r="I617" s="2" t="s">
        <v>3661</v>
      </c>
      <c r="J617" s="4" t="s">
        <v>3658</v>
      </c>
    </row>
    <row r="618">
      <c r="A618" s="1">
        <v>617.0</v>
      </c>
      <c r="B618" s="1" t="s">
        <v>3662</v>
      </c>
      <c r="C618" s="1" t="s">
        <v>3663</v>
      </c>
      <c r="E618" s="1" t="s">
        <v>3664</v>
      </c>
      <c r="F618" s="2" t="s">
        <v>3665</v>
      </c>
      <c r="G618" s="2" t="s">
        <v>3666</v>
      </c>
      <c r="H618" s="3" t="str">
        <f t="shared" si="1"/>
        <v>#NAME?</v>
      </c>
      <c r="I618" s="2" t="s">
        <v>3667</v>
      </c>
      <c r="J618" s="4" t="s">
        <v>3668</v>
      </c>
    </row>
    <row r="619">
      <c r="A619" s="1">
        <v>618.0</v>
      </c>
      <c r="B619" s="1" t="s">
        <v>3669</v>
      </c>
      <c r="C619" s="1" t="s">
        <v>3670</v>
      </c>
      <c r="E619" s="1" t="s">
        <v>3671</v>
      </c>
      <c r="F619" s="2" t="s">
        <v>3672</v>
      </c>
      <c r="G619" s="2" t="s">
        <v>3673</v>
      </c>
      <c r="H619" s="3" t="str">
        <f t="shared" si="1"/>
        <v>#NAME?</v>
      </c>
      <c r="I619" s="2" t="s">
        <v>3674</v>
      </c>
      <c r="J619" s="4" t="s">
        <v>3675</v>
      </c>
    </row>
    <row r="620">
      <c r="A620" s="1">
        <v>619.0</v>
      </c>
      <c r="B620" s="1" t="s">
        <v>3676</v>
      </c>
      <c r="C620" s="1" t="s">
        <v>3677</v>
      </c>
      <c r="E620" s="1" t="s">
        <v>3678</v>
      </c>
      <c r="F620" s="2" t="s">
        <v>3679</v>
      </c>
      <c r="G620" s="2" t="s">
        <v>3680</v>
      </c>
      <c r="H620" s="3" t="str">
        <f t="shared" si="1"/>
        <v>#NAME?</v>
      </c>
      <c r="I620" s="2" t="s">
        <v>3681</v>
      </c>
      <c r="J620" s="4" t="s">
        <v>3682</v>
      </c>
    </row>
    <row r="621">
      <c r="A621" s="1">
        <v>620.0</v>
      </c>
      <c r="B621" s="1" t="s">
        <v>3683</v>
      </c>
      <c r="C621" s="1" t="s">
        <v>3684</v>
      </c>
      <c r="E621" s="1" t="s">
        <v>3685</v>
      </c>
      <c r="F621" s="2" t="s">
        <v>3686</v>
      </c>
      <c r="G621" s="2" t="s">
        <v>3687</v>
      </c>
      <c r="H621" s="3" t="str">
        <f t="shared" si="1"/>
        <v>#NAME?</v>
      </c>
      <c r="I621" s="2" t="s">
        <v>3688</v>
      </c>
      <c r="J621" s="4" t="s">
        <v>3689</v>
      </c>
    </row>
    <row r="622">
      <c r="A622" s="1">
        <v>621.0</v>
      </c>
      <c r="B622" s="1" t="s">
        <v>3690</v>
      </c>
      <c r="C622" s="1" t="s">
        <v>3691</v>
      </c>
      <c r="E622" s="1" t="s">
        <v>3692</v>
      </c>
      <c r="F622" s="2" t="s">
        <v>3693</v>
      </c>
      <c r="G622" s="2" t="s">
        <v>3694</v>
      </c>
      <c r="H622" s="3" t="str">
        <f t="shared" si="1"/>
        <v>#NAME?</v>
      </c>
      <c r="I622" s="2" t="s">
        <v>3695</v>
      </c>
      <c r="J622" s="4" t="s">
        <v>3696</v>
      </c>
    </row>
    <row r="623">
      <c r="A623" s="1">
        <v>622.0</v>
      </c>
      <c r="B623" s="1" t="s">
        <v>3697</v>
      </c>
      <c r="C623" s="1" t="s">
        <v>3698</v>
      </c>
      <c r="E623" s="1" t="s">
        <v>3699</v>
      </c>
      <c r="F623" s="2" t="s">
        <v>3700</v>
      </c>
      <c r="G623" s="2" t="s">
        <v>3701</v>
      </c>
      <c r="H623" s="3" t="str">
        <f t="shared" si="1"/>
        <v>#NAME?</v>
      </c>
      <c r="I623" s="2" t="s">
        <v>3702</v>
      </c>
      <c r="J623" s="4" t="s">
        <v>3703</v>
      </c>
    </row>
    <row r="624">
      <c r="A624" s="1">
        <v>623.0</v>
      </c>
      <c r="B624" s="1" t="s">
        <v>3704</v>
      </c>
      <c r="C624" s="1" t="s">
        <v>3705</v>
      </c>
      <c r="E624" s="1" t="s">
        <v>3706</v>
      </c>
      <c r="F624" s="2" t="s">
        <v>3707</v>
      </c>
      <c r="G624" s="2" t="s">
        <v>3708</v>
      </c>
      <c r="H624" s="3" t="str">
        <f t="shared" si="1"/>
        <v>#NAME?</v>
      </c>
      <c r="I624" s="2" t="s">
        <v>3709</v>
      </c>
      <c r="J624" s="4" t="s">
        <v>3710</v>
      </c>
    </row>
    <row r="625">
      <c r="A625" s="1">
        <v>624.0</v>
      </c>
      <c r="B625" s="1" t="s">
        <v>3711</v>
      </c>
      <c r="C625" s="1" t="s">
        <v>3712</v>
      </c>
      <c r="E625" s="1" t="s">
        <v>3713</v>
      </c>
      <c r="F625" s="2" t="s">
        <v>3714</v>
      </c>
      <c r="G625" s="2" t="s">
        <v>3715</v>
      </c>
      <c r="H625" s="3" t="str">
        <f t="shared" si="1"/>
        <v>#NAME?</v>
      </c>
      <c r="I625" s="2" t="s">
        <v>3716</v>
      </c>
      <c r="J625" s="4" t="s">
        <v>3717</v>
      </c>
    </row>
    <row r="626">
      <c r="A626" s="1">
        <v>625.0</v>
      </c>
      <c r="B626" s="1" t="s">
        <v>3718</v>
      </c>
      <c r="C626" s="1" t="s">
        <v>3719</v>
      </c>
      <c r="E626" s="1" t="s">
        <v>3720</v>
      </c>
      <c r="F626" s="2" t="s">
        <v>3721</v>
      </c>
      <c r="G626" s="2" t="s">
        <v>3722</v>
      </c>
      <c r="H626" s="3" t="str">
        <f t="shared" si="1"/>
        <v>#NAME?</v>
      </c>
      <c r="I626" s="2" t="s">
        <v>3723</v>
      </c>
      <c r="J626" s="4" t="s">
        <v>3724</v>
      </c>
    </row>
    <row r="627">
      <c r="A627" s="1">
        <v>626.0</v>
      </c>
      <c r="B627" s="1" t="s">
        <v>3725</v>
      </c>
      <c r="C627" s="1" t="s">
        <v>3726</v>
      </c>
      <c r="E627" s="1" t="s">
        <v>3727</v>
      </c>
      <c r="F627" s="2" t="s">
        <v>3728</v>
      </c>
      <c r="G627" s="2" t="s">
        <v>3729</v>
      </c>
      <c r="H627" s="3" t="str">
        <f t="shared" si="1"/>
        <v>#NAME?</v>
      </c>
      <c r="I627" s="2" t="s">
        <v>3730</v>
      </c>
      <c r="J627" s="4" t="s">
        <v>3731</v>
      </c>
    </row>
    <row r="628">
      <c r="A628" s="1">
        <v>627.0</v>
      </c>
      <c r="B628" s="1" t="s">
        <v>3732</v>
      </c>
      <c r="C628" s="1" t="s">
        <v>3733</v>
      </c>
      <c r="E628" s="1" t="s">
        <v>3734</v>
      </c>
      <c r="F628" s="2" t="s">
        <v>3735</v>
      </c>
      <c r="G628" s="2" t="s">
        <v>3736</v>
      </c>
      <c r="H628" s="3" t="str">
        <f t="shared" si="1"/>
        <v>#NAME?</v>
      </c>
      <c r="I628" s="2" t="s">
        <v>3737</v>
      </c>
      <c r="J628" s="4" t="s">
        <v>3738</v>
      </c>
    </row>
    <row r="629">
      <c r="A629" s="1">
        <v>628.0</v>
      </c>
      <c r="B629" s="1" t="s">
        <v>3739</v>
      </c>
      <c r="C629" s="1" t="s">
        <v>3740</v>
      </c>
      <c r="E629" s="1" t="s">
        <v>3741</v>
      </c>
      <c r="F629" s="2" t="s">
        <v>3742</v>
      </c>
      <c r="G629" s="2" t="s">
        <v>3743</v>
      </c>
      <c r="H629" s="3" t="str">
        <f t="shared" si="1"/>
        <v>#NAME?</v>
      </c>
      <c r="I629" s="2" t="s">
        <v>3744</v>
      </c>
      <c r="J629" s="4" t="s">
        <v>3745</v>
      </c>
    </row>
    <row r="630">
      <c r="A630" s="1">
        <v>629.0</v>
      </c>
      <c r="B630" s="1" t="s">
        <v>3746</v>
      </c>
      <c r="C630" s="1" t="s">
        <v>3747</v>
      </c>
      <c r="E630" s="1" t="s">
        <v>3748</v>
      </c>
      <c r="F630" s="2" t="s">
        <v>3749</v>
      </c>
      <c r="G630" s="2" t="s">
        <v>3750</v>
      </c>
      <c r="H630" s="3" t="str">
        <f t="shared" si="1"/>
        <v>#NAME?</v>
      </c>
      <c r="I630" s="2" t="s">
        <v>3751</v>
      </c>
      <c r="J630" s="4" t="s">
        <v>3752</v>
      </c>
    </row>
    <row r="631">
      <c r="A631" s="1">
        <v>630.0</v>
      </c>
      <c r="B631" s="1" t="s">
        <v>3746</v>
      </c>
      <c r="C631" s="1" t="s">
        <v>3753</v>
      </c>
      <c r="E631" s="1" t="s">
        <v>3754</v>
      </c>
      <c r="F631" s="2" t="s">
        <v>3755</v>
      </c>
      <c r="G631" s="2" t="s">
        <v>3756</v>
      </c>
      <c r="H631" s="3" t="str">
        <f t="shared" si="1"/>
        <v>#NAME?</v>
      </c>
      <c r="I631" s="2" t="s">
        <v>3757</v>
      </c>
      <c r="J631" s="4" t="s">
        <v>3752</v>
      </c>
    </row>
    <row r="632">
      <c r="A632" s="1">
        <v>631.0</v>
      </c>
      <c r="B632" s="1" t="s">
        <v>3758</v>
      </c>
      <c r="C632" s="1" t="s">
        <v>3759</v>
      </c>
      <c r="E632" s="1" t="s">
        <v>3760</v>
      </c>
      <c r="F632" s="2" t="s">
        <v>3761</v>
      </c>
      <c r="G632" s="2" t="s">
        <v>3762</v>
      </c>
      <c r="H632" s="3" t="str">
        <f t="shared" si="1"/>
        <v>#NAME?</v>
      </c>
      <c r="I632" s="2" t="s">
        <v>3763</v>
      </c>
      <c r="J632" s="4" t="s">
        <v>3764</v>
      </c>
    </row>
    <row r="633">
      <c r="A633" s="1">
        <v>632.0</v>
      </c>
      <c r="B633" s="1" t="s">
        <v>3765</v>
      </c>
      <c r="C633" s="1" t="s">
        <v>3766</v>
      </c>
      <c r="E633" s="1" t="s">
        <v>3767</v>
      </c>
      <c r="F633" s="2" t="s">
        <v>3768</v>
      </c>
      <c r="G633" s="2" t="s">
        <v>3769</v>
      </c>
      <c r="H633" s="3" t="str">
        <f t="shared" si="1"/>
        <v>#NAME?</v>
      </c>
      <c r="I633" s="2" t="s">
        <v>3770</v>
      </c>
      <c r="J633" s="4" t="s">
        <v>3771</v>
      </c>
    </row>
    <row r="634">
      <c r="A634" s="1">
        <v>633.0</v>
      </c>
      <c r="B634" s="1" t="s">
        <v>3772</v>
      </c>
      <c r="C634" s="1" t="s">
        <v>3773</v>
      </c>
      <c r="E634" s="1" t="s">
        <v>3774</v>
      </c>
      <c r="F634" s="2" t="s">
        <v>3775</v>
      </c>
      <c r="G634" s="2" t="s">
        <v>3776</v>
      </c>
      <c r="H634" s="3" t="str">
        <f t="shared" si="1"/>
        <v>#NAME?</v>
      </c>
      <c r="I634" s="2" t="s">
        <v>3777</v>
      </c>
      <c r="J634" s="4" t="s">
        <v>3778</v>
      </c>
    </row>
    <row r="635">
      <c r="A635" s="1">
        <v>634.0</v>
      </c>
      <c r="B635" s="1" t="s">
        <v>3779</v>
      </c>
      <c r="C635" s="1" t="s">
        <v>2723</v>
      </c>
      <c r="E635" s="1" t="s">
        <v>2724</v>
      </c>
      <c r="F635" s="2" t="s">
        <v>1863</v>
      </c>
      <c r="G635" s="2" t="s">
        <v>3780</v>
      </c>
      <c r="H635" s="3" t="str">
        <f t="shared" si="1"/>
        <v>#NAME?</v>
      </c>
      <c r="I635" s="2" t="s">
        <v>3781</v>
      </c>
      <c r="J635" s="4" t="s">
        <v>3782</v>
      </c>
    </row>
    <row r="636">
      <c r="A636" s="1">
        <v>635.0</v>
      </c>
      <c r="B636" s="1" t="s">
        <v>3783</v>
      </c>
      <c r="C636" s="1" t="s">
        <v>3784</v>
      </c>
      <c r="E636" s="1" t="s">
        <v>3785</v>
      </c>
      <c r="F636" s="2" t="s">
        <v>3786</v>
      </c>
      <c r="G636" s="2" t="s">
        <v>3787</v>
      </c>
      <c r="H636" s="3" t="str">
        <f t="shared" si="1"/>
        <v>#NAME?</v>
      </c>
      <c r="I636" s="2" t="s">
        <v>3788</v>
      </c>
      <c r="J636" s="4" t="s">
        <v>3789</v>
      </c>
    </row>
    <row r="637">
      <c r="A637" s="1">
        <v>636.0</v>
      </c>
      <c r="B637" s="1" t="s">
        <v>3790</v>
      </c>
      <c r="C637" s="1" t="s">
        <v>3791</v>
      </c>
      <c r="E637" s="1" t="s">
        <v>3792</v>
      </c>
      <c r="F637" s="2" t="s">
        <v>3793</v>
      </c>
      <c r="G637" s="2" t="s">
        <v>3794</v>
      </c>
      <c r="H637" s="3" t="str">
        <f t="shared" si="1"/>
        <v>#NAME?</v>
      </c>
      <c r="I637" s="2" t="s">
        <v>3795</v>
      </c>
      <c r="J637" s="4" t="s">
        <v>3796</v>
      </c>
    </row>
    <row r="638">
      <c r="A638" s="1">
        <v>637.0</v>
      </c>
      <c r="B638" s="1" t="s">
        <v>3797</v>
      </c>
      <c r="C638" s="1" t="s">
        <v>3798</v>
      </c>
      <c r="E638" s="1" t="s">
        <v>3799</v>
      </c>
      <c r="F638" s="2" t="s">
        <v>3800</v>
      </c>
      <c r="G638" s="2" t="s">
        <v>3801</v>
      </c>
      <c r="H638" s="3" t="str">
        <f t="shared" si="1"/>
        <v>#NAME?</v>
      </c>
      <c r="I638" s="2" t="s">
        <v>3802</v>
      </c>
      <c r="J638" s="4" t="s">
        <v>3803</v>
      </c>
    </row>
    <row r="639">
      <c r="A639" s="1">
        <v>638.0</v>
      </c>
      <c r="B639" s="1" t="s">
        <v>3797</v>
      </c>
      <c r="C639" s="1" t="s">
        <v>3804</v>
      </c>
      <c r="E639" s="1" t="s">
        <v>3805</v>
      </c>
      <c r="F639" s="2" t="s">
        <v>3806</v>
      </c>
      <c r="G639" s="2" t="s">
        <v>3807</v>
      </c>
      <c r="H639" s="3" t="str">
        <f t="shared" si="1"/>
        <v>#NAME?</v>
      </c>
      <c r="I639" s="2" t="s">
        <v>3808</v>
      </c>
      <c r="J639" s="4" t="s">
        <v>3803</v>
      </c>
    </row>
    <row r="640">
      <c r="A640" s="1">
        <v>639.0</v>
      </c>
      <c r="B640" s="1" t="s">
        <v>3809</v>
      </c>
      <c r="C640" s="1" t="s">
        <v>3810</v>
      </c>
      <c r="E640" s="1" t="s">
        <v>3811</v>
      </c>
      <c r="F640" s="2" t="s">
        <v>3812</v>
      </c>
      <c r="G640" s="2" t="s">
        <v>3813</v>
      </c>
      <c r="H640" s="3" t="str">
        <f t="shared" si="1"/>
        <v>#NAME?</v>
      </c>
      <c r="I640" s="2" t="s">
        <v>3814</v>
      </c>
      <c r="J640" s="4" t="s">
        <v>3815</v>
      </c>
    </row>
    <row r="641">
      <c r="A641" s="1">
        <v>640.0</v>
      </c>
      <c r="B641" s="1" t="s">
        <v>3816</v>
      </c>
      <c r="C641" s="1" t="s">
        <v>3817</v>
      </c>
      <c r="E641" s="1" t="s">
        <v>3818</v>
      </c>
      <c r="F641" s="2" t="s">
        <v>3819</v>
      </c>
      <c r="G641" s="2" t="s">
        <v>3820</v>
      </c>
      <c r="H641" s="3" t="str">
        <f t="shared" si="1"/>
        <v>#NAME?</v>
      </c>
      <c r="I641" s="2" t="s">
        <v>3821</v>
      </c>
      <c r="J641" s="4" t="s">
        <v>3822</v>
      </c>
    </row>
    <row r="642">
      <c r="A642" s="1">
        <v>641.0</v>
      </c>
      <c r="B642" s="1" t="s">
        <v>3823</v>
      </c>
      <c r="C642" s="1" t="s">
        <v>3824</v>
      </c>
      <c r="E642" s="1" t="s">
        <v>3825</v>
      </c>
      <c r="F642" s="2" t="s">
        <v>2810</v>
      </c>
      <c r="G642" s="2" t="s">
        <v>3826</v>
      </c>
      <c r="H642" s="3" t="str">
        <f t="shared" si="1"/>
        <v>#NAME?</v>
      </c>
      <c r="I642" s="2" t="s">
        <v>3827</v>
      </c>
      <c r="J642" s="4" t="s">
        <v>3828</v>
      </c>
    </row>
    <row r="643">
      <c r="A643" s="1">
        <v>642.0</v>
      </c>
      <c r="B643" s="1" t="s">
        <v>3829</v>
      </c>
      <c r="C643" s="1" t="s">
        <v>3830</v>
      </c>
      <c r="E643" s="1" t="s">
        <v>3831</v>
      </c>
      <c r="F643" s="2" t="s">
        <v>3832</v>
      </c>
      <c r="G643" s="2" t="s">
        <v>3833</v>
      </c>
      <c r="H643" s="3" t="str">
        <f t="shared" si="1"/>
        <v>#NAME?</v>
      </c>
      <c r="I643" s="2" t="s">
        <v>3834</v>
      </c>
      <c r="J643" s="4" t="s">
        <v>3835</v>
      </c>
    </row>
    <row r="644">
      <c r="A644" s="1">
        <v>643.0</v>
      </c>
      <c r="B644" s="1" t="s">
        <v>3836</v>
      </c>
      <c r="C644" s="1" t="s">
        <v>3837</v>
      </c>
      <c r="E644" s="1" t="s">
        <v>3838</v>
      </c>
      <c r="F644" s="2" t="s">
        <v>3839</v>
      </c>
      <c r="G644" s="2" t="s">
        <v>3840</v>
      </c>
      <c r="H644" s="3" t="str">
        <f t="shared" si="1"/>
        <v>#NAME?</v>
      </c>
      <c r="I644" s="2" t="s">
        <v>3841</v>
      </c>
      <c r="J644" s="4" t="s">
        <v>3842</v>
      </c>
    </row>
    <row r="645">
      <c r="A645" s="1">
        <v>644.0</v>
      </c>
      <c r="B645" s="1" t="s">
        <v>3843</v>
      </c>
      <c r="C645" s="1" t="s">
        <v>3844</v>
      </c>
      <c r="E645" s="1" t="s">
        <v>3845</v>
      </c>
      <c r="F645" s="2" t="s">
        <v>3846</v>
      </c>
      <c r="G645" s="2" t="s">
        <v>3847</v>
      </c>
      <c r="H645" s="3" t="str">
        <f t="shared" si="1"/>
        <v>#NAME?</v>
      </c>
      <c r="I645" s="2" t="s">
        <v>3848</v>
      </c>
      <c r="J645" s="4" t="s">
        <v>3849</v>
      </c>
    </row>
    <row r="646">
      <c r="A646" s="1">
        <v>645.0</v>
      </c>
      <c r="B646" s="1" t="s">
        <v>3850</v>
      </c>
      <c r="C646" s="1" t="s">
        <v>3851</v>
      </c>
      <c r="E646" s="1" t="s">
        <v>3852</v>
      </c>
      <c r="F646" s="2" t="s">
        <v>3853</v>
      </c>
      <c r="G646" s="2" t="s">
        <v>3854</v>
      </c>
      <c r="H646" s="3" t="str">
        <f t="shared" si="1"/>
        <v>#NAME?</v>
      </c>
      <c r="I646" s="2" t="s">
        <v>3855</v>
      </c>
      <c r="J646" s="4" t="s">
        <v>3856</v>
      </c>
    </row>
    <row r="647">
      <c r="A647" s="1">
        <v>646.0</v>
      </c>
      <c r="B647" s="1" t="s">
        <v>3850</v>
      </c>
      <c r="C647" s="1" t="s">
        <v>3857</v>
      </c>
      <c r="E647" s="1" t="s">
        <v>3858</v>
      </c>
      <c r="F647" s="2" t="s">
        <v>3859</v>
      </c>
      <c r="G647" s="2" t="s">
        <v>3860</v>
      </c>
      <c r="H647" s="3" t="str">
        <f t="shared" si="1"/>
        <v>#NAME?</v>
      </c>
      <c r="I647" s="2" t="s">
        <v>3861</v>
      </c>
      <c r="J647" s="4" t="s">
        <v>3856</v>
      </c>
    </row>
    <row r="648">
      <c r="A648" s="1">
        <v>647.0</v>
      </c>
      <c r="B648" s="1" t="s">
        <v>3862</v>
      </c>
      <c r="C648" s="1" t="s">
        <v>3863</v>
      </c>
      <c r="E648" s="1" t="s">
        <v>3864</v>
      </c>
      <c r="F648" s="2" t="s">
        <v>1472</v>
      </c>
      <c r="G648" s="2" t="s">
        <v>3865</v>
      </c>
      <c r="H648" s="3" t="str">
        <f t="shared" si="1"/>
        <v>#NAME?</v>
      </c>
      <c r="I648" s="2" t="s">
        <v>3866</v>
      </c>
      <c r="J648" s="4" t="s">
        <v>3867</v>
      </c>
    </row>
    <row r="649">
      <c r="A649" s="1">
        <v>648.0</v>
      </c>
      <c r="B649" s="1" t="s">
        <v>3868</v>
      </c>
      <c r="C649" s="1" t="s">
        <v>3869</v>
      </c>
      <c r="E649" s="1" t="s">
        <v>3870</v>
      </c>
      <c r="F649" s="2" t="s">
        <v>3871</v>
      </c>
      <c r="G649" s="2" t="s">
        <v>3872</v>
      </c>
      <c r="H649" s="3" t="str">
        <f t="shared" si="1"/>
        <v>#NAME?</v>
      </c>
      <c r="I649" s="2" t="s">
        <v>3873</v>
      </c>
      <c r="J649" s="4" t="s">
        <v>3874</v>
      </c>
    </row>
    <row r="650">
      <c r="A650" s="1">
        <v>649.0</v>
      </c>
      <c r="B650" s="1" t="s">
        <v>3875</v>
      </c>
      <c r="C650" s="1" t="s">
        <v>3876</v>
      </c>
      <c r="E650" s="1" t="s">
        <v>3877</v>
      </c>
      <c r="F650" s="2" t="s">
        <v>3878</v>
      </c>
      <c r="G650" s="2" t="s">
        <v>3879</v>
      </c>
      <c r="H650" s="3" t="str">
        <f t="shared" si="1"/>
        <v>#NAME?</v>
      </c>
      <c r="I650" s="2" t="s">
        <v>3880</v>
      </c>
      <c r="J650" s="4" t="s">
        <v>3874</v>
      </c>
    </row>
    <row r="651">
      <c r="A651" s="1">
        <v>650.0</v>
      </c>
      <c r="B651" s="1" t="s">
        <v>3881</v>
      </c>
      <c r="C651" s="1" t="s">
        <v>3882</v>
      </c>
      <c r="E651" s="1" t="s">
        <v>3883</v>
      </c>
      <c r="F651" s="2" t="s">
        <v>3884</v>
      </c>
      <c r="G651" s="2" t="s">
        <v>3885</v>
      </c>
      <c r="H651" s="3" t="str">
        <f t="shared" si="1"/>
        <v>#NAME?</v>
      </c>
      <c r="I651" s="2" t="s">
        <v>3886</v>
      </c>
      <c r="J651" s="4" t="s">
        <v>3887</v>
      </c>
    </row>
    <row r="652">
      <c r="A652" s="1">
        <v>651.0</v>
      </c>
      <c r="B652" s="1" t="s">
        <v>3888</v>
      </c>
      <c r="C652" s="1" t="s">
        <v>3889</v>
      </c>
      <c r="E652" s="1" t="s">
        <v>3890</v>
      </c>
      <c r="F652" s="2" t="s">
        <v>3891</v>
      </c>
      <c r="G652" s="2" t="s">
        <v>3892</v>
      </c>
      <c r="H652" s="3" t="str">
        <f t="shared" si="1"/>
        <v>#NAME?</v>
      </c>
      <c r="I652" s="2" t="s">
        <v>3893</v>
      </c>
      <c r="J652" s="4" t="s">
        <v>3894</v>
      </c>
    </row>
    <row r="653">
      <c r="A653" s="1">
        <v>652.0</v>
      </c>
      <c r="B653" s="1" t="s">
        <v>3895</v>
      </c>
      <c r="C653" s="1" t="s">
        <v>3896</v>
      </c>
      <c r="E653" s="1" t="s">
        <v>3897</v>
      </c>
      <c r="F653" s="2" t="s">
        <v>3898</v>
      </c>
      <c r="G653" s="2" t="s">
        <v>3899</v>
      </c>
      <c r="H653" s="3" t="str">
        <f t="shared" si="1"/>
        <v>#NAME?</v>
      </c>
      <c r="I653" s="2" t="s">
        <v>3900</v>
      </c>
      <c r="J653" s="4" t="s">
        <v>3901</v>
      </c>
    </row>
    <row r="654">
      <c r="A654" s="1">
        <v>653.0</v>
      </c>
      <c r="B654" s="1" t="s">
        <v>3902</v>
      </c>
      <c r="C654" s="1" t="s">
        <v>3338</v>
      </c>
      <c r="E654" s="1" t="s">
        <v>3339</v>
      </c>
      <c r="F654" s="2" t="s">
        <v>3340</v>
      </c>
      <c r="G654" s="2" t="s">
        <v>3903</v>
      </c>
      <c r="H654" s="3" t="str">
        <f t="shared" si="1"/>
        <v>#NAME?</v>
      </c>
      <c r="I654" s="2" t="s">
        <v>3904</v>
      </c>
      <c r="J654" s="4" t="s">
        <v>3905</v>
      </c>
    </row>
    <row r="655">
      <c r="A655" s="1">
        <v>654.0</v>
      </c>
      <c r="B655" s="1" t="s">
        <v>3906</v>
      </c>
      <c r="C655" s="1" t="s">
        <v>3907</v>
      </c>
      <c r="E655" s="1" t="s">
        <v>3908</v>
      </c>
      <c r="F655" s="2" t="s">
        <v>3909</v>
      </c>
      <c r="G655" s="2" t="s">
        <v>3910</v>
      </c>
      <c r="H655" s="3" t="str">
        <f t="shared" si="1"/>
        <v>#NAME?</v>
      </c>
      <c r="I655" s="2" t="s">
        <v>3911</v>
      </c>
      <c r="J655" s="4" t="s">
        <v>3912</v>
      </c>
    </row>
    <row r="656">
      <c r="A656" s="1">
        <v>655.0</v>
      </c>
      <c r="B656" s="1" t="s">
        <v>3913</v>
      </c>
      <c r="C656" s="1" t="s">
        <v>3914</v>
      </c>
      <c r="E656" s="1" t="s">
        <v>3915</v>
      </c>
      <c r="F656" s="2" t="s">
        <v>3916</v>
      </c>
      <c r="G656" s="2" t="s">
        <v>3917</v>
      </c>
      <c r="H656" s="3" t="str">
        <f t="shared" si="1"/>
        <v>#NAME?</v>
      </c>
      <c r="I656" s="2" t="s">
        <v>3918</v>
      </c>
      <c r="J656" s="4" t="s">
        <v>3919</v>
      </c>
    </row>
    <row r="657">
      <c r="A657" s="1">
        <v>656.0</v>
      </c>
      <c r="B657" s="1" t="s">
        <v>3913</v>
      </c>
      <c r="C657" s="1" t="s">
        <v>3920</v>
      </c>
      <c r="E657" s="1" t="s">
        <v>3921</v>
      </c>
      <c r="F657" s="2" t="s">
        <v>3922</v>
      </c>
      <c r="G657" s="2" t="s">
        <v>3923</v>
      </c>
      <c r="H657" s="3" t="str">
        <f t="shared" si="1"/>
        <v>#NAME?</v>
      </c>
      <c r="I657" s="2" t="s">
        <v>3924</v>
      </c>
      <c r="J657" s="4" t="s">
        <v>3919</v>
      </c>
    </row>
    <row r="658">
      <c r="A658" s="1">
        <v>657.0</v>
      </c>
      <c r="B658" s="1" t="s">
        <v>3925</v>
      </c>
      <c r="C658" s="1" t="s">
        <v>3926</v>
      </c>
      <c r="E658" s="1" t="s">
        <v>3927</v>
      </c>
      <c r="F658" s="2" t="s">
        <v>3928</v>
      </c>
      <c r="G658" s="2" t="s">
        <v>3929</v>
      </c>
      <c r="H658" s="3" t="str">
        <f t="shared" si="1"/>
        <v>#NAME?</v>
      </c>
      <c r="I658" s="2" t="s">
        <v>3930</v>
      </c>
      <c r="J658" s="4" t="s">
        <v>3931</v>
      </c>
    </row>
    <row r="659">
      <c r="A659" s="1">
        <v>658.0</v>
      </c>
      <c r="B659" s="1" t="s">
        <v>3932</v>
      </c>
      <c r="C659" s="1" t="s">
        <v>3933</v>
      </c>
      <c r="E659" s="1" t="s">
        <v>3934</v>
      </c>
      <c r="F659" s="2" t="s">
        <v>3935</v>
      </c>
      <c r="G659" s="2" t="s">
        <v>3936</v>
      </c>
      <c r="H659" s="3" t="str">
        <f t="shared" si="1"/>
        <v>#NAME?</v>
      </c>
      <c r="I659" s="2" t="s">
        <v>3937</v>
      </c>
      <c r="J659" s="4" t="s">
        <v>3938</v>
      </c>
    </row>
    <row r="660">
      <c r="A660" s="1">
        <v>659.0</v>
      </c>
      <c r="B660" s="1" t="s">
        <v>3939</v>
      </c>
      <c r="C660" s="1" t="s">
        <v>3940</v>
      </c>
      <c r="E660" s="1" t="s">
        <v>3941</v>
      </c>
      <c r="F660" s="2" t="s">
        <v>1175</v>
      </c>
      <c r="G660" s="2" t="s">
        <v>3942</v>
      </c>
      <c r="H660" s="3" t="str">
        <f t="shared" si="1"/>
        <v>#NAME?</v>
      </c>
      <c r="I660" s="2" t="s">
        <v>3943</v>
      </c>
      <c r="J660" s="4" t="s">
        <v>3944</v>
      </c>
    </row>
    <row r="661">
      <c r="A661" s="1">
        <v>660.0</v>
      </c>
      <c r="B661" s="1" t="s">
        <v>3945</v>
      </c>
      <c r="C661" s="1" t="s">
        <v>3946</v>
      </c>
      <c r="E661" s="1" t="s">
        <v>3947</v>
      </c>
      <c r="F661" s="2" t="s">
        <v>3948</v>
      </c>
      <c r="G661" s="2" t="s">
        <v>3949</v>
      </c>
      <c r="H661" s="3" t="str">
        <f t="shared" si="1"/>
        <v>#NAME?</v>
      </c>
      <c r="I661" s="2" t="s">
        <v>3950</v>
      </c>
      <c r="J661" s="4" t="s">
        <v>3951</v>
      </c>
    </row>
    <row r="662">
      <c r="A662" s="1">
        <v>661.0</v>
      </c>
      <c r="B662" s="1" t="s">
        <v>3952</v>
      </c>
      <c r="C662" s="1" t="s">
        <v>3953</v>
      </c>
      <c r="E662" s="1" t="s">
        <v>3954</v>
      </c>
      <c r="F662" s="2" t="s">
        <v>2680</v>
      </c>
      <c r="G662" s="2" t="s">
        <v>3955</v>
      </c>
      <c r="H662" s="3" t="str">
        <f t="shared" si="1"/>
        <v>#NAME?</v>
      </c>
      <c r="I662" s="2" t="s">
        <v>3956</v>
      </c>
      <c r="J662" s="4" t="s">
        <v>3957</v>
      </c>
    </row>
    <row r="663">
      <c r="A663" s="1">
        <v>662.0</v>
      </c>
      <c r="B663" s="1" t="s">
        <v>3958</v>
      </c>
      <c r="C663" s="1" t="s">
        <v>3959</v>
      </c>
      <c r="E663" s="1" t="s">
        <v>3959</v>
      </c>
      <c r="F663" s="2" t="s">
        <v>3960</v>
      </c>
      <c r="G663" s="2" t="s">
        <v>3961</v>
      </c>
      <c r="H663" s="3" t="str">
        <f t="shared" si="1"/>
        <v>#NAME?</v>
      </c>
      <c r="I663" s="2" t="s">
        <v>3962</v>
      </c>
      <c r="J663" s="4" t="s">
        <v>3963</v>
      </c>
    </row>
    <row r="664">
      <c r="A664" s="1">
        <v>663.0</v>
      </c>
      <c r="B664" s="1" t="s">
        <v>3964</v>
      </c>
      <c r="C664" s="1" t="s">
        <v>3965</v>
      </c>
      <c r="E664" s="1" t="s">
        <v>3966</v>
      </c>
      <c r="F664" s="2" t="s">
        <v>3967</v>
      </c>
      <c r="G664" s="2" t="s">
        <v>3968</v>
      </c>
      <c r="H664" s="3" t="str">
        <f t="shared" si="1"/>
        <v>#NAME?</v>
      </c>
      <c r="I664" s="2" t="s">
        <v>3969</v>
      </c>
      <c r="J664" s="4" t="s">
        <v>3970</v>
      </c>
    </row>
    <row r="665">
      <c r="A665" s="1">
        <v>664.0</v>
      </c>
      <c r="B665" s="1" t="s">
        <v>3971</v>
      </c>
      <c r="C665" s="1" t="s">
        <v>3972</v>
      </c>
      <c r="E665" s="1" t="s">
        <v>3973</v>
      </c>
      <c r="F665" s="2" t="s">
        <v>1651</v>
      </c>
      <c r="G665" s="2" t="s">
        <v>3974</v>
      </c>
      <c r="H665" s="3" t="str">
        <f t="shared" si="1"/>
        <v>#NAME?</v>
      </c>
      <c r="I665" s="2" t="s">
        <v>3975</v>
      </c>
      <c r="J665" s="4" t="s">
        <v>3976</v>
      </c>
    </row>
    <row r="666">
      <c r="A666" s="1">
        <v>665.0</v>
      </c>
      <c r="B666" s="1" t="s">
        <v>3977</v>
      </c>
      <c r="C666" s="1" t="s">
        <v>3978</v>
      </c>
      <c r="E666" s="1" t="s">
        <v>3979</v>
      </c>
      <c r="F666" s="2" t="s">
        <v>3980</v>
      </c>
      <c r="G666" s="2" t="s">
        <v>3981</v>
      </c>
      <c r="H666" s="3" t="str">
        <f t="shared" si="1"/>
        <v>#NAME?</v>
      </c>
      <c r="I666" s="2" t="s">
        <v>3982</v>
      </c>
      <c r="J666" s="4" t="s">
        <v>3983</v>
      </c>
    </row>
    <row r="667">
      <c r="A667" s="1">
        <v>666.0</v>
      </c>
      <c r="B667" s="1" t="s">
        <v>3977</v>
      </c>
      <c r="C667" s="1" t="s">
        <v>3984</v>
      </c>
      <c r="E667" s="1" t="s">
        <v>3985</v>
      </c>
      <c r="F667" s="2" t="s">
        <v>3986</v>
      </c>
      <c r="G667" s="2" t="s">
        <v>3987</v>
      </c>
      <c r="H667" s="3" t="str">
        <f t="shared" si="1"/>
        <v>#NAME?</v>
      </c>
      <c r="I667" s="2" t="s">
        <v>3988</v>
      </c>
      <c r="J667" s="4" t="s">
        <v>3983</v>
      </c>
    </row>
    <row r="668">
      <c r="A668" s="1">
        <v>667.0</v>
      </c>
      <c r="B668" s="1" t="s">
        <v>3989</v>
      </c>
      <c r="C668" s="1" t="s">
        <v>3990</v>
      </c>
      <c r="E668" s="1" t="s">
        <v>3991</v>
      </c>
      <c r="F668" s="2" t="s">
        <v>3992</v>
      </c>
      <c r="G668" s="2" t="s">
        <v>3993</v>
      </c>
      <c r="H668" s="3" t="str">
        <f t="shared" si="1"/>
        <v>#NAME?</v>
      </c>
      <c r="I668" s="2" t="s">
        <v>3994</v>
      </c>
      <c r="J668" s="4" t="s">
        <v>3995</v>
      </c>
    </row>
    <row r="669">
      <c r="A669" s="1">
        <v>668.0</v>
      </c>
      <c r="B669" s="1" t="s">
        <v>3996</v>
      </c>
      <c r="C669" s="1" t="s">
        <v>3997</v>
      </c>
      <c r="E669" s="1" t="s">
        <v>3998</v>
      </c>
      <c r="F669" s="2" t="s">
        <v>3999</v>
      </c>
      <c r="G669" s="2" t="s">
        <v>4000</v>
      </c>
      <c r="H669" s="3" t="str">
        <f t="shared" si="1"/>
        <v>#NAME?</v>
      </c>
      <c r="I669" s="2" t="s">
        <v>4001</v>
      </c>
      <c r="J669" s="4" t="s">
        <v>4002</v>
      </c>
    </row>
    <row r="670">
      <c r="A670" s="1">
        <v>669.0</v>
      </c>
      <c r="B670" s="1" t="s">
        <v>4003</v>
      </c>
      <c r="C670" s="1" t="s">
        <v>4004</v>
      </c>
      <c r="E670" s="1" t="s">
        <v>4005</v>
      </c>
      <c r="F670" s="2" t="s">
        <v>4006</v>
      </c>
      <c r="G670" s="2" t="s">
        <v>4007</v>
      </c>
      <c r="H670" s="3" t="str">
        <f t="shared" si="1"/>
        <v>#NAME?</v>
      </c>
      <c r="I670" s="2" t="s">
        <v>4008</v>
      </c>
      <c r="J670" s="4" t="s">
        <v>4009</v>
      </c>
    </row>
    <row r="671">
      <c r="A671" s="1">
        <v>670.0</v>
      </c>
      <c r="B671" s="1" t="s">
        <v>4010</v>
      </c>
      <c r="C671" s="1" t="s">
        <v>4011</v>
      </c>
      <c r="E671" s="1" t="s">
        <v>4012</v>
      </c>
      <c r="F671" s="2" t="s">
        <v>3755</v>
      </c>
      <c r="G671" s="2" t="s">
        <v>4013</v>
      </c>
      <c r="H671" s="3" t="str">
        <f t="shared" si="1"/>
        <v>#NAME?</v>
      </c>
      <c r="I671" s="2" t="s">
        <v>4014</v>
      </c>
      <c r="J671" s="4" t="s">
        <v>4015</v>
      </c>
    </row>
    <row r="672">
      <c r="A672" s="1">
        <v>671.0</v>
      </c>
      <c r="B672" s="1" t="s">
        <v>4016</v>
      </c>
      <c r="C672" s="1" t="s">
        <v>4017</v>
      </c>
      <c r="E672" s="1" t="s">
        <v>4018</v>
      </c>
      <c r="F672" s="2" t="s">
        <v>4019</v>
      </c>
      <c r="G672" s="2" t="s">
        <v>4020</v>
      </c>
      <c r="H672" s="3" t="str">
        <f t="shared" si="1"/>
        <v>#NAME?</v>
      </c>
      <c r="I672" s="2" t="s">
        <v>4021</v>
      </c>
      <c r="J672" s="4" t="s">
        <v>4022</v>
      </c>
    </row>
    <row r="673">
      <c r="A673" s="1">
        <v>672.0</v>
      </c>
      <c r="B673" s="1" t="s">
        <v>4023</v>
      </c>
      <c r="C673" s="1" t="s">
        <v>4024</v>
      </c>
      <c r="E673" s="1" t="s">
        <v>4025</v>
      </c>
      <c r="F673" s="2" t="s">
        <v>4026</v>
      </c>
      <c r="G673" s="2" t="s">
        <v>4027</v>
      </c>
      <c r="H673" s="3" t="str">
        <f t="shared" si="1"/>
        <v>#NAME?</v>
      </c>
      <c r="I673" s="2" t="s">
        <v>4028</v>
      </c>
      <c r="J673" s="4" t="s">
        <v>4029</v>
      </c>
    </row>
    <row r="674">
      <c r="A674" s="1">
        <v>673.0</v>
      </c>
      <c r="B674" s="1" t="s">
        <v>4030</v>
      </c>
      <c r="C674" s="1" t="s">
        <v>4031</v>
      </c>
      <c r="E674" s="1" t="s">
        <v>4032</v>
      </c>
      <c r="F674" s="2" t="s">
        <v>2580</v>
      </c>
      <c r="G674" s="2" t="s">
        <v>4033</v>
      </c>
      <c r="H674" s="3" t="str">
        <f t="shared" si="1"/>
        <v>#NAME?</v>
      </c>
      <c r="I674" s="2" t="s">
        <v>4034</v>
      </c>
      <c r="J674" s="4" t="s">
        <v>4035</v>
      </c>
    </row>
    <row r="675">
      <c r="A675" s="1">
        <v>674.0</v>
      </c>
      <c r="B675" s="1" t="s">
        <v>4036</v>
      </c>
      <c r="C675" s="1" t="s">
        <v>4037</v>
      </c>
      <c r="E675" s="1" t="s">
        <v>4038</v>
      </c>
      <c r="F675" s="2" t="s">
        <v>3648</v>
      </c>
      <c r="G675" s="2" t="s">
        <v>4039</v>
      </c>
      <c r="H675" s="3" t="str">
        <f t="shared" si="1"/>
        <v>#NAME?</v>
      </c>
      <c r="I675" s="2" t="s">
        <v>4040</v>
      </c>
      <c r="J675" s="4" t="s">
        <v>4041</v>
      </c>
    </row>
    <row r="676">
      <c r="A676" s="1">
        <v>675.0</v>
      </c>
      <c r="B676" s="1" t="s">
        <v>4042</v>
      </c>
      <c r="C676" s="1" t="s">
        <v>4043</v>
      </c>
      <c r="E676" s="1" t="s">
        <v>4044</v>
      </c>
      <c r="F676" s="2" t="s">
        <v>4045</v>
      </c>
      <c r="G676" s="2" t="s">
        <v>4046</v>
      </c>
      <c r="H676" s="3" t="str">
        <f t="shared" si="1"/>
        <v>#NAME?</v>
      </c>
      <c r="I676" s="2" t="s">
        <v>4047</v>
      </c>
      <c r="J676" s="4" t="s">
        <v>4048</v>
      </c>
    </row>
    <row r="677">
      <c r="A677" s="1">
        <v>676.0</v>
      </c>
      <c r="B677" s="1" t="s">
        <v>4049</v>
      </c>
      <c r="C677" s="1" t="s">
        <v>4050</v>
      </c>
      <c r="E677" s="1" t="s">
        <v>4051</v>
      </c>
      <c r="F677" s="2" t="s">
        <v>4052</v>
      </c>
      <c r="G677" s="2" t="s">
        <v>4053</v>
      </c>
      <c r="H677" s="3" t="str">
        <f t="shared" si="1"/>
        <v>#NAME?</v>
      </c>
      <c r="I677" s="2" t="s">
        <v>4054</v>
      </c>
      <c r="J677" s="4" t="s">
        <v>4055</v>
      </c>
    </row>
    <row r="678">
      <c r="A678" s="1">
        <v>677.0</v>
      </c>
      <c r="B678" s="1" t="s">
        <v>4056</v>
      </c>
      <c r="C678" s="1" t="s">
        <v>4057</v>
      </c>
      <c r="E678" s="1" t="s">
        <v>4058</v>
      </c>
      <c r="F678" s="2" t="s">
        <v>4059</v>
      </c>
      <c r="G678" s="2" t="s">
        <v>4060</v>
      </c>
      <c r="H678" s="3" t="str">
        <f t="shared" si="1"/>
        <v>#NAME?</v>
      </c>
      <c r="I678" s="2" t="s">
        <v>4061</v>
      </c>
      <c r="J678" s="4" t="s">
        <v>4062</v>
      </c>
    </row>
    <row r="679">
      <c r="A679" s="1">
        <v>678.0</v>
      </c>
      <c r="B679" s="1" t="s">
        <v>4063</v>
      </c>
      <c r="C679" s="1" t="s">
        <v>4064</v>
      </c>
      <c r="E679" s="1" t="s">
        <v>4065</v>
      </c>
      <c r="F679" s="2" t="s">
        <v>4066</v>
      </c>
      <c r="G679" s="2" t="s">
        <v>4067</v>
      </c>
      <c r="H679" s="3" t="str">
        <f t="shared" si="1"/>
        <v>#NAME?</v>
      </c>
      <c r="I679" s="2" t="s">
        <v>4068</v>
      </c>
      <c r="J679" s="4" t="s">
        <v>4069</v>
      </c>
    </row>
    <row r="680">
      <c r="A680" s="1">
        <v>679.0</v>
      </c>
      <c r="B680" s="1" t="s">
        <v>4070</v>
      </c>
      <c r="C680" s="1" t="s">
        <v>4071</v>
      </c>
      <c r="E680" s="1" t="s">
        <v>4072</v>
      </c>
      <c r="F680" s="2" t="s">
        <v>4073</v>
      </c>
      <c r="G680" s="2" t="s">
        <v>4074</v>
      </c>
      <c r="H680" s="3" t="str">
        <f t="shared" si="1"/>
        <v>#NAME?</v>
      </c>
      <c r="I680" s="2" t="s">
        <v>4075</v>
      </c>
      <c r="J680" s="4" t="s">
        <v>4076</v>
      </c>
    </row>
    <row r="681">
      <c r="A681" s="1">
        <v>680.0</v>
      </c>
      <c r="B681" s="1" t="s">
        <v>4077</v>
      </c>
      <c r="C681" s="1" t="s">
        <v>4078</v>
      </c>
      <c r="E681" s="1" t="s">
        <v>4079</v>
      </c>
      <c r="F681" s="2" t="s">
        <v>2580</v>
      </c>
      <c r="G681" s="2" t="s">
        <v>4080</v>
      </c>
      <c r="H681" s="3" t="str">
        <f t="shared" si="1"/>
        <v>#NAME?</v>
      </c>
      <c r="I681" s="2" t="s">
        <v>4081</v>
      </c>
      <c r="J681" s="4" t="s">
        <v>4082</v>
      </c>
    </row>
    <row r="682">
      <c r="A682" s="1">
        <v>681.0</v>
      </c>
      <c r="B682" s="1" t="s">
        <v>4083</v>
      </c>
      <c r="C682" s="1" t="s">
        <v>4084</v>
      </c>
      <c r="E682" s="1" t="s">
        <v>4085</v>
      </c>
      <c r="F682" s="2" t="s">
        <v>4086</v>
      </c>
      <c r="G682" s="2" t="s">
        <v>4087</v>
      </c>
      <c r="H682" s="3" t="str">
        <f t="shared" si="1"/>
        <v>#NAME?</v>
      </c>
      <c r="I682" s="2" t="s">
        <v>4088</v>
      </c>
      <c r="J682" s="4" t="s">
        <v>4089</v>
      </c>
    </row>
    <row r="683">
      <c r="A683" s="1">
        <v>682.0</v>
      </c>
      <c r="B683" s="1" t="s">
        <v>4090</v>
      </c>
      <c r="C683" s="1" t="s">
        <v>4091</v>
      </c>
      <c r="E683" s="1" t="s">
        <v>4092</v>
      </c>
      <c r="F683" s="2" t="s">
        <v>2573</v>
      </c>
      <c r="G683" s="2" t="s">
        <v>4093</v>
      </c>
      <c r="H683" s="3" t="str">
        <f t="shared" si="1"/>
        <v>#NAME?</v>
      </c>
      <c r="I683" s="2" t="s">
        <v>4094</v>
      </c>
      <c r="J683" s="4" t="s">
        <v>4095</v>
      </c>
    </row>
    <row r="684">
      <c r="A684" s="1">
        <v>683.0</v>
      </c>
      <c r="B684" s="1" t="s">
        <v>4096</v>
      </c>
      <c r="C684" s="1" t="s">
        <v>4097</v>
      </c>
      <c r="E684" s="1" t="s">
        <v>4098</v>
      </c>
      <c r="F684" s="2" t="s">
        <v>4099</v>
      </c>
      <c r="G684" s="2" t="s">
        <v>4100</v>
      </c>
      <c r="H684" s="3" t="str">
        <f t="shared" si="1"/>
        <v>#NAME?</v>
      </c>
      <c r="I684" s="2" t="s">
        <v>4101</v>
      </c>
      <c r="J684" s="4" t="s">
        <v>4102</v>
      </c>
    </row>
    <row r="685">
      <c r="A685" s="1">
        <v>684.0</v>
      </c>
      <c r="B685" s="1" t="s">
        <v>4103</v>
      </c>
      <c r="C685" s="1" t="s">
        <v>4104</v>
      </c>
      <c r="E685" s="1" t="s">
        <v>4105</v>
      </c>
      <c r="F685" s="2" t="s">
        <v>4106</v>
      </c>
      <c r="G685" s="2" t="s">
        <v>4107</v>
      </c>
      <c r="H685" s="3" t="str">
        <f t="shared" si="1"/>
        <v>#NAME?</v>
      </c>
      <c r="I685" s="2" t="s">
        <v>4108</v>
      </c>
      <c r="J685" s="4" t="s">
        <v>4109</v>
      </c>
    </row>
    <row r="686">
      <c r="A686" s="1">
        <v>685.0</v>
      </c>
      <c r="B686" s="1" t="s">
        <v>4110</v>
      </c>
      <c r="C686" s="1" t="s">
        <v>4111</v>
      </c>
      <c r="E686" s="1" t="s">
        <v>4112</v>
      </c>
      <c r="F686" s="2" t="s">
        <v>3812</v>
      </c>
      <c r="G686" s="2" t="s">
        <v>4113</v>
      </c>
      <c r="H686" s="3" t="str">
        <f t="shared" si="1"/>
        <v>#NAME?</v>
      </c>
      <c r="I686" s="2" t="s">
        <v>4114</v>
      </c>
      <c r="J686" s="4" t="s">
        <v>4115</v>
      </c>
    </row>
    <row r="687">
      <c r="A687" s="1">
        <v>686.0</v>
      </c>
      <c r="B687" s="1" t="s">
        <v>4116</v>
      </c>
      <c r="C687" s="1" t="s">
        <v>4117</v>
      </c>
      <c r="E687" s="1" t="s">
        <v>4118</v>
      </c>
      <c r="F687" s="2" t="s">
        <v>2752</v>
      </c>
      <c r="G687" s="2" t="s">
        <v>4119</v>
      </c>
      <c r="H687" s="3" t="str">
        <f t="shared" si="1"/>
        <v>#NAME?</v>
      </c>
      <c r="I687" s="2" t="s">
        <v>4120</v>
      </c>
      <c r="J687" s="4" t="s">
        <v>4121</v>
      </c>
    </row>
    <row r="688">
      <c r="A688" s="1">
        <v>687.0</v>
      </c>
      <c r="B688" s="1" t="s">
        <v>4122</v>
      </c>
      <c r="C688" s="1" t="s">
        <v>4123</v>
      </c>
      <c r="E688" s="1" t="s">
        <v>4124</v>
      </c>
      <c r="F688" s="2" t="s">
        <v>4125</v>
      </c>
      <c r="G688" s="2" t="s">
        <v>4126</v>
      </c>
      <c r="H688" s="3" t="str">
        <f t="shared" si="1"/>
        <v>#NAME?</v>
      </c>
      <c r="I688" s="2" t="s">
        <v>4127</v>
      </c>
      <c r="J688" s="4" t="s">
        <v>4128</v>
      </c>
    </row>
    <row r="689">
      <c r="A689" s="1">
        <v>688.0</v>
      </c>
      <c r="B689" s="1" t="s">
        <v>4122</v>
      </c>
      <c r="C689" s="1" t="s">
        <v>4123</v>
      </c>
      <c r="E689" s="1" t="s">
        <v>4124</v>
      </c>
      <c r="F689" s="2" t="s">
        <v>4099</v>
      </c>
      <c r="G689" s="2" t="s">
        <v>4129</v>
      </c>
      <c r="H689" s="3" t="str">
        <f t="shared" si="1"/>
        <v>#NAME?</v>
      </c>
      <c r="I689" s="2" t="s">
        <v>4130</v>
      </c>
      <c r="J689" s="4" t="s">
        <v>4128</v>
      </c>
    </row>
    <row r="690">
      <c r="A690" s="1">
        <v>689.0</v>
      </c>
      <c r="B690" s="1" t="s">
        <v>4131</v>
      </c>
      <c r="C690" s="1" t="s">
        <v>4132</v>
      </c>
      <c r="E690" s="1" t="s">
        <v>4133</v>
      </c>
      <c r="F690" s="2" t="s">
        <v>4134</v>
      </c>
      <c r="G690" s="2" t="s">
        <v>4135</v>
      </c>
      <c r="H690" s="3" t="str">
        <f t="shared" si="1"/>
        <v>#NAME?</v>
      </c>
      <c r="I690" s="2" t="s">
        <v>4136</v>
      </c>
      <c r="J690" s="4" t="s">
        <v>4137</v>
      </c>
    </row>
    <row r="691">
      <c r="A691" s="1">
        <v>690.0</v>
      </c>
      <c r="B691" s="1" t="s">
        <v>4138</v>
      </c>
      <c r="C691" s="1" t="s">
        <v>4139</v>
      </c>
      <c r="E691" s="1" t="s">
        <v>4140</v>
      </c>
      <c r="F691" s="2" t="s">
        <v>4141</v>
      </c>
      <c r="G691" s="2" t="s">
        <v>4142</v>
      </c>
      <c r="H691" s="3" t="str">
        <f t="shared" si="1"/>
        <v>#NAME?</v>
      </c>
      <c r="I691" s="2" t="s">
        <v>4143</v>
      </c>
      <c r="J691" s="4" t="s">
        <v>4144</v>
      </c>
    </row>
    <row r="692">
      <c r="A692" s="1">
        <v>691.0</v>
      </c>
      <c r="B692" s="1" t="s">
        <v>4145</v>
      </c>
      <c r="C692" s="1" t="s">
        <v>4146</v>
      </c>
      <c r="E692" s="1" t="s">
        <v>4147</v>
      </c>
      <c r="F692" s="2" t="s">
        <v>4148</v>
      </c>
      <c r="G692" s="2" t="s">
        <v>4149</v>
      </c>
      <c r="H692" s="3" t="str">
        <f t="shared" si="1"/>
        <v>#NAME?</v>
      </c>
      <c r="I692" s="2" t="s">
        <v>4150</v>
      </c>
      <c r="J692" s="4" t="s">
        <v>4151</v>
      </c>
    </row>
    <row r="693">
      <c r="A693" s="1">
        <v>692.0</v>
      </c>
      <c r="B693" s="1" t="s">
        <v>4152</v>
      </c>
      <c r="C693" s="1" t="s">
        <v>4153</v>
      </c>
      <c r="E693" s="1" t="s">
        <v>4154</v>
      </c>
      <c r="F693" s="2" t="s">
        <v>4155</v>
      </c>
      <c r="G693" s="2" t="s">
        <v>4156</v>
      </c>
      <c r="H693" s="3" t="str">
        <f t="shared" si="1"/>
        <v>#NAME?</v>
      </c>
      <c r="I693" s="2" t="s">
        <v>4157</v>
      </c>
      <c r="J693" s="4" t="s">
        <v>4158</v>
      </c>
    </row>
    <row r="694">
      <c r="A694" s="1">
        <v>693.0</v>
      </c>
      <c r="B694" s="1" t="s">
        <v>4159</v>
      </c>
      <c r="C694" s="1" t="s">
        <v>4160</v>
      </c>
      <c r="D694" s="1" t="s">
        <v>4160</v>
      </c>
      <c r="E694" s="14" t="str">
        <f t="shared" ref="E694:E1017" si="2">PINYIN(D694)</f>
        <v>#NAME?</v>
      </c>
      <c r="F694" s="15" t="str">
        <f>IFERROR(__xludf.DUMMYFUNCTION("GOOGLETRANSLATE(D694,""zh-CN"", ""en"")"),"need")</f>
        <v>need</v>
      </c>
      <c r="G694" s="2" t="s">
        <v>4161</v>
      </c>
      <c r="H694" s="3" t="str">
        <f t="shared" si="1"/>
        <v>#NAME?</v>
      </c>
      <c r="I694" s="2" t="s">
        <v>4162</v>
      </c>
    </row>
    <row r="695">
      <c r="A695" s="1">
        <v>694.0</v>
      </c>
      <c r="B695" s="1" t="s">
        <v>4159</v>
      </c>
      <c r="C695" s="1" t="s">
        <v>4160</v>
      </c>
      <c r="D695" s="1" t="s">
        <v>4160</v>
      </c>
      <c r="E695" s="14" t="str">
        <f t="shared" si="2"/>
        <v>#NAME?</v>
      </c>
      <c r="F695" s="15" t="str">
        <f>IFERROR(__xludf.DUMMYFUNCTION("GOOGLETRANSLATE(D695,""zh-CN"", ""en"")"),"need")</f>
        <v>need</v>
      </c>
      <c r="G695" s="2" t="s">
        <v>4163</v>
      </c>
      <c r="H695" s="3" t="str">
        <f t="shared" si="1"/>
        <v>#NAME?</v>
      </c>
      <c r="I695" s="2" t="s">
        <v>4164</v>
      </c>
    </row>
    <row r="696">
      <c r="A696" s="1">
        <v>695.0</v>
      </c>
      <c r="B696" s="1" t="s">
        <v>4165</v>
      </c>
      <c r="C696" s="1" t="s">
        <v>4166</v>
      </c>
      <c r="D696" s="1" t="s">
        <v>4167</v>
      </c>
      <c r="E696" s="14" t="str">
        <f t="shared" si="2"/>
        <v>#NAME?</v>
      </c>
      <c r="F696" s="15" t="str">
        <f>IFERROR(__xludf.DUMMYFUNCTION("GOOGLETRANSLATE(D696,""zh-CN"", ""en"")"),"when")</f>
        <v>when</v>
      </c>
      <c r="G696" s="2" t="s">
        <v>4168</v>
      </c>
      <c r="H696" s="3" t="str">
        <f t="shared" si="1"/>
        <v>#NAME?</v>
      </c>
      <c r="I696" s="2" t="s">
        <v>4169</v>
      </c>
    </row>
    <row r="697">
      <c r="A697" s="1">
        <v>696.0</v>
      </c>
      <c r="B697" s="1" t="s">
        <v>4165</v>
      </c>
      <c r="C697" s="1" t="s">
        <v>4166</v>
      </c>
      <c r="D697" s="1" t="s">
        <v>4170</v>
      </c>
      <c r="E697" s="14" t="str">
        <f t="shared" si="2"/>
        <v>#NAME?</v>
      </c>
      <c r="F697" s="15" t="str">
        <f>IFERROR(__xludf.DUMMYFUNCTION("GOOGLETRANSLATE(D697,""zh-CN"", ""en"")"),"What")</f>
        <v>What</v>
      </c>
      <c r="G697" s="2" t="s">
        <v>4171</v>
      </c>
      <c r="H697" s="3" t="str">
        <f t="shared" si="1"/>
        <v>#NAME?</v>
      </c>
      <c r="I697" s="2" t="s">
        <v>4172</v>
      </c>
    </row>
    <row r="698">
      <c r="A698" s="1">
        <v>697.0</v>
      </c>
      <c r="B698" s="1" t="s">
        <v>4173</v>
      </c>
      <c r="C698" s="1" t="s">
        <v>4174</v>
      </c>
      <c r="D698" s="1" t="s">
        <v>4175</v>
      </c>
      <c r="E698" s="14" t="str">
        <f t="shared" si="2"/>
        <v>#NAME?</v>
      </c>
      <c r="F698" s="15" t="str">
        <f>IFERROR(__xludf.DUMMYFUNCTION("GOOGLETRANSLATE(D698,""zh-CN"", ""en"")"),"This project")</f>
        <v>This project</v>
      </c>
      <c r="G698" s="2" t="s">
        <v>4176</v>
      </c>
      <c r="H698" s="3" t="str">
        <f t="shared" si="1"/>
        <v>#NAME?</v>
      </c>
      <c r="I698" s="2" t="s">
        <v>4177</v>
      </c>
    </row>
    <row r="699">
      <c r="A699" s="1">
        <v>698.0</v>
      </c>
      <c r="B699" s="1" t="s">
        <v>4173</v>
      </c>
      <c r="C699" s="1" t="s">
        <v>4174</v>
      </c>
      <c r="D699" s="1" t="s">
        <v>4178</v>
      </c>
      <c r="E699" s="14" t="str">
        <f t="shared" si="2"/>
        <v>#NAME?</v>
      </c>
      <c r="F699" s="15" t="str">
        <f>IFERROR(__xludf.DUMMYFUNCTION("GOOGLETRANSLATE(D699,""zh-CN"", ""en"")"),"another")</f>
        <v>another</v>
      </c>
      <c r="G699" s="2" t="s">
        <v>4179</v>
      </c>
      <c r="H699" s="3" t="str">
        <f t="shared" si="1"/>
        <v>#NAME?</v>
      </c>
      <c r="I699" s="2" t="s">
        <v>4180</v>
      </c>
    </row>
    <row r="700">
      <c r="A700" s="1">
        <v>699.0</v>
      </c>
      <c r="B700" s="1" t="s">
        <v>4173</v>
      </c>
      <c r="C700" s="1" t="s">
        <v>4174</v>
      </c>
      <c r="D700" s="1" t="s">
        <v>4181</v>
      </c>
      <c r="E700" s="14" t="str">
        <f t="shared" si="2"/>
        <v>#NAME?</v>
      </c>
      <c r="F700" s="15" t="str">
        <f>IFERROR(__xludf.DUMMYFUNCTION("GOOGLETRANSLATE(D700,""zh-CN"", ""en"")"),"Here")</f>
        <v>Here</v>
      </c>
      <c r="G700" s="2" t="s">
        <v>4182</v>
      </c>
      <c r="H700" s="3" t="str">
        <f t="shared" si="1"/>
        <v>#NAME?</v>
      </c>
      <c r="I700" s="2" t="s">
        <v>4183</v>
      </c>
    </row>
    <row r="701">
      <c r="A701" s="1">
        <v>700.0</v>
      </c>
      <c r="B701" s="1" t="s">
        <v>4184</v>
      </c>
      <c r="C701" s="1" t="s">
        <v>4185</v>
      </c>
      <c r="D701" s="1" t="s">
        <v>4186</v>
      </c>
      <c r="E701" s="14" t="str">
        <f t="shared" si="2"/>
        <v>#NAME?</v>
      </c>
      <c r="F701" s="15" t="str">
        <f>IFERROR(__xludf.DUMMYFUNCTION("GOOGLETRANSLATE(D701,""zh-CN"", ""en"")"),"Building")</f>
        <v>Building</v>
      </c>
      <c r="G701" s="2" t="s">
        <v>4187</v>
      </c>
      <c r="H701" s="3" t="str">
        <f t="shared" si="1"/>
        <v>#NAME?</v>
      </c>
      <c r="I701" s="2" t="s">
        <v>4188</v>
      </c>
    </row>
    <row r="702">
      <c r="A702" s="1">
        <v>701.0</v>
      </c>
      <c r="B702" s="1" t="s">
        <v>4184</v>
      </c>
      <c r="C702" s="1" t="s">
        <v>4185</v>
      </c>
      <c r="D702" s="1" t="s">
        <v>4189</v>
      </c>
      <c r="E702" s="14" t="str">
        <f t="shared" si="2"/>
        <v>#NAME?</v>
      </c>
      <c r="F702" s="15" t="str">
        <f>IFERROR(__xludf.DUMMYFUNCTION("GOOGLETRANSLATE(D702,""zh-CN"", ""en"")"),"grain")</f>
        <v>grain</v>
      </c>
      <c r="G702" s="2" t="s">
        <v>4190</v>
      </c>
      <c r="H702" s="3" t="str">
        <f t="shared" si="1"/>
        <v>#NAME?</v>
      </c>
      <c r="I702" s="2" t="s">
        <v>4191</v>
      </c>
    </row>
    <row r="703">
      <c r="A703" s="1">
        <v>702.0</v>
      </c>
      <c r="B703" s="1" t="s">
        <v>4184</v>
      </c>
      <c r="C703" s="1" t="s">
        <v>4185</v>
      </c>
      <c r="D703" s="1" t="s">
        <v>4192</v>
      </c>
      <c r="E703" s="14" t="str">
        <f t="shared" si="2"/>
        <v>#NAME?</v>
      </c>
      <c r="F703" s="15" t="str">
        <f>IFERROR(__xludf.DUMMYFUNCTION("GOOGLETRANSLATE(D703,""zh-CN"", ""en"")"),"pieces")</f>
        <v>pieces</v>
      </c>
      <c r="G703" s="2" t="s">
        <v>4193</v>
      </c>
      <c r="H703" s="3" t="str">
        <f t="shared" si="1"/>
        <v>#NAME?</v>
      </c>
      <c r="I703" s="2" t="s">
        <v>4194</v>
      </c>
    </row>
    <row r="704">
      <c r="A704" s="1">
        <v>703.0</v>
      </c>
      <c r="B704" s="1" t="s">
        <v>4184</v>
      </c>
      <c r="C704" s="1" t="s">
        <v>4185</v>
      </c>
      <c r="D704" s="1" t="s">
        <v>4195</v>
      </c>
      <c r="E704" s="14" t="str">
        <f t="shared" si="2"/>
        <v>#NAME?</v>
      </c>
      <c r="F704" s="15" t="str">
        <f>IFERROR(__xludf.DUMMYFUNCTION("GOOGLETRANSLATE(D704,""zh-CN"", ""en"")"),"One")</f>
        <v>One</v>
      </c>
      <c r="G704" s="2" t="s">
        <v>4196</v>
      </c>
      <c r="H704" s="3" t="str">
        <f t="shared" si="1"/>
        <v>#NAME?</v>
      </c>
      <c r="I704" s="2" t="s">
        <v>4197</v>
      </c>
    </row>
    <row r="705">
      <c r="A705" s="1">
        <v>704.0</v>
      </c>
      <c r="B705" s="1" t="s">
        <v>4184</v>
      </c>
      <c r="C705" s="1" t="s">
        <v>4185</v>
      </c>
      <c r="D705" s="1" t="s">
        <v>4198</v>
      </c>
      <c r="E705" s="14" t="str">
        <f t="shared" si="2"/>
        <v>#NAME?</v>
      </c>
      <c r="F705" s="15" t="str">
        <f>IFERROR(__xludf.DUMMYFUNCTION("GOOGLETRANSLATE(D705,""zh-CN"", ""en"")"),"cup")</f>
        <v>cup</v>
      </c>
      <c r="G705" s="2" t="s">
        <v>4199</v>
      </c>
      <c r="H705" s="3" t="str">
        <f t="shared" si="1"/>
        <v>#NAME?</v>
      </c>
      <c r="I705" s="2" t="s">
        <v>4200</v>
      </c>
    </row>
    <row r="706">
      <c r="A706" s="1">
        <v>705.0</v>
      </c>
      <c r="B706" s="1" t="s">
        <v>4201</v>
      </c>
      <c r="C706" s="1" t="s">
        <v>4202</v>
      </c>
      <c r="D706" s="1" t="s">
        <v>4202</v>
      </c>
      <c r="E706" s="14" t="str">
        <f t="shared" si="2"/>
        <v>#NAME?</v>
      </c>
      <c r="F706" s="15" t="str">
        <f>IFERROR(__xludf.DUMMYFUNCTION("GOOGLETRANSLATE(D706,""zh-CN"", ""en"")"),"Number of people")</f>
        <v>Number of people</v>
      </c>
      <c r="G706" s="2" t="s">
        <v>4203</v>
      </c>
      <c r="H706" s="3" t="str">
        <f t="shared" si="1"/>
        <v>#NAME?</v>
      </c>
      <c r="I706" s="2" t="s">
        <v>4204</v>
      </c>
    </row>
    <row r="707">
      <c r="A707" s="1">
        <v>706.0</v>
      </c>
      <c r="B707" s="1" t="s">
        <v>4205</v>
      </c>
      <c r="C707" s="1" t="s">
        <v>4206</v>
      </c>
      <c r="D707" s="1" t="s">
        <v>4206</v>
      </c>
      <c r="E707" s="14" t="str">
        <f t="shared" si="2"/>
        <v>#NAME?</v>
      </c>
      <c r="F707" s="15" t="str">
        <f>IFERROR(__xludf.DUMMYFUNCTION("GOOGLETRANSLATE(D707,""zh-CN"", ""en"")"),"Extremely")</f>
        <v>Extremely</v>
      </c>
      <c r="G707" s="2" t="s">
        <v>4207</v>
      </c>
      <c r="H707" s="3" t="str">
        <f t="shared" si="1"/>
        <v>#NAME?</v>
      </c>
      <c r="I707" s="2" t="s">
        <v>4208</v>
      </c>
    </row>
    <row r="708">
      <c r="A708" s="1">
        <v>707.0</v>
      </c>
      <c r="B708" s="1" t="s">
        <v>4205</v>
      </c>
      <c r="C708" s="1" t="s">
        <v>4206</v>
      </c>
      <c r="D708" s="1" t="s">
        <v>4206</v>
      </c>
      <c r="E708" s="14" t="str">
        <f t="shared" si="2"/>
        <v>#NAME?</v>
      </c>
      <c r="F708" s="15" t="str">
        <f>IFERROR(__xludf.DUMMYFUNCTION("GOOGLETRANSLATE(D708,""zh-CN"", ""en"")"),"Extremely")</f>
        <v>Extremely</v>
      </c>
      <c r="G708" s="2" t="s">
        <v>4209</v>
      </c>
      <c r="H708" s="3" t="str">
        <f t="shared" si="1"/>
        <v>#NAME?</v>
      </c>
      <c r="I708" s="2" t="s">
        <v>4210</v>
      </c>
    </row>
    <row r="709">
      <c r="A709" s="1">
        <v>708.0</v>
      </c>
      <c r="B709" s="1" t="s">
        <v>4211</v>
      </c>
      <c r="C709" s="1" t="s">
        <v>4212</v>
      </c>
      <c r="E709" s="14" t="str">
        <f t="shared" si="2"/>
        <v>#NAME?</v>
      </c>
      <c r="F709" s="15" t="str">
        <f>IFERROR(__xludf.DUMMYFUNCTION("GOOGLETRANSLATE(D709,""zh-CN"", ""en"")"),"#VALUE!")</f>
        <v>#VALUE!</v>
      </c>
      <c r="G709" s="2" t="s">
        <v>4213</v>
      </c>
      <c r="H709" s="3" t="str">
        <f t="shared" si="1"/>
        <v>#NAME?</v>
      </c>
      <c r="I709" s="2" t="s">
        <v>4214</v>
      </c>
    </row>
    <row r="710">
      <c r="A710" s="1">
        <v>709.0</v>
      </c>
      <c r="B710" s="1" t="s">
        <v>4211</v>
      </c>
      <c r="C710" s="1" t="s">
        <v>4212</v>
      </c>
      <c r="E710" s="14" t="str">
        <f t="shared" si="2"/>
        <v>#NAME?</v>
      </c>
      <c r="F710" s="15" t="str">
        <f>IFERROR(__xludf.DUMMYFUNCTION("GOOGLETRANSLATE(D710,""zh-CN"", ""en"")"),"#VALUE!")</f>
        <v>#VALUE!</v>
      </c>
      <c r="G710" s="2" t="s">
        <v>4215</v>
      </c>
      <c r="H710" s="3" t="str">
        <f t="shared" si="1"/>
        <v>#NAME?</v>
      </c>
      <c r="I710" s="2" t="s">
        <v>4216</v>
      </c>
    </row>
    <row r="711">
      <c r="A711" s="1">
        <v>710.0</v>
      </c>
      <c r="B711" s="1" t="s">
        <v>4217</v>
      </c>
      <c r="C711" s="1" t="s">
        <v>4218</v>
      </c>
      <c r="D711" s="1" t="s">
        <v>4218</v>
      </c>
      <c r="E711" s="14" t="str">
        <f t="shared" si="2"/>
        <v>#NAME?</v>
      </c>
      <c r="F711" s="15" t="str">
        <f>IFERROR(__xludf.DUMMYFUNCTION("GOOGLETRANSLATE(D711,""zh-CN"", ""en"")"),"quite")</f>
        <v>quite</v>
      </c>
      <c r="G711" s="2" t="s">
        <v>4219</v>
      </c>
      <c r="H711" s="3" t="str">
        <f t="shared" si="1"/>
        <v>#NAME?</v>
      </c>
      <c r="I711" s="2" t="s">
        <v>4220</v>
      </c>
    </row>
    <row r="712">
      <c r="A712" s="1">
        <v>711.0</v>
      </c>
      <c r="B712" s="1" t="s">
        <v>4217</v>
      </c>
      <c r="C712" s="1" t="s">
        <v>4218</v>
      </c>
      <c r="D712" s="1" t="s">
        <v>4218</v>
      </c>
      <c r="E712" s="14" t="str">
        <f t="shared" si="2"/>
        <v>#NAME?</v>
      </c>
      <c r="F712" s="15" t="str">
        <f>IFERROR(__xludf.DUMMYFUNCTION("GOOGLETRANSLATE(D712,""zh-CN"", ""en"")"),"quite")</f>
        <v>quite</v>
      </c>
      <c r="G712" s="2" t="s">
        <v>4221</v>
      </c>
      <c r="H712" s="3" t="str">
        <f t="shared" si="1"/>
        <v>#NAME?</v>
      </c>
      <c r="I712" s="2" t="s">
        <v>4222</v>
      </c>
    </row>
    <row r="713">
      <c r="A713" s="1">
        <v>712.0</v>
      </c>
      <c r="B713" s="1" t="s">
        <v>4223</v>
      </c>
      <c r="C713" s="1" t="s">
        <v>4224</v>
      </c>
      <c r="D713" s="1" t="s">
        <v>4224</v>
      </c>
      <c r="E713" s="14" t="str">
        <f t="shared" si="2"/>
        <v>#NAME?</v>
      </c>
      <c r="F713" s="15" t="str">
        <f>IFERROR(__xludf.DUMMYFUNCTION("GOOGLETRANSLATE(D713,""zh-CN"", ""en"")"),"quite")</f>
        <v>quite</v>
      </c>
      <c r="G713" s="2" t="s">
        <v>4225</v>
      </c>
      <c r="H713" s="3" t="str">
        <f t="shared" si="1"/>
        <v>#NAME?</v>
      </c>
      <c r="I713" s="2" t="s">
        <v>4226</v>
      </c>
    </row>
    <row r="714">
      <c r="A714" s="1">
        <v>713.0</v>
      </c>
      <c r="B714" s="1" t="s">
        <v>4223</v>
      </c>
      <c r="C714" s="1" t="s">
        <v>4224</v>
      </c>
      <c r="D714" s="1" t="s">
        <v>4224</v>
      </c>
      <c r="E714" s="14" t="str">
        <f t="shared" si="2"/>
        <v>#NAME?</v>
      </c>
      <c r="F714" s="15" t="str">
        <f>IFERROR(__xludf.DUMMYFUNCTION("GOOGLETRANSLATE(D714,""zh-CN"", ""en"")"),"quite")</f>
        <v>quite</v>
      </c>
      <c r="G714" s="2" t="s">
        <v>4227</v>
      </c>
      <c r="H714" s="3" t="str">
        <f t="shared" si="1"/>
        <v>#NAME?</v>
      </c>
      <c r="I714" s="2" t="s">
        <v>4228</v>
      </c>
    </row>
    <row r="715">
      <c r="A715" s="1">
        <v>714.0</v>
      </c>
      <c r="B715" s="1" t="s">
        <v>4229</v>
      </c>
      <c r="C715" s="1" t="s">
        <v>4230</v>
      </c>
      <c r="D715" s="1" t="s">
        <v>4230</v>
      </c>
      <c r="E715" s="14" t="str">
        <f t="shared" si="2"/>
        <v>#NAME?</v>
      </c>
      <c r="F715" s="15" t="str">
        <f>IFERROR(__xludf.DUMMYFUNCTION("GOOGLETRANSLATE(D715,""zh-CN"", ""en"")"),"slightly")</f>
        <v>slightly</v>
      </c>
      <c r="G715" s="2" t="s">
        <v>4231</v>
      </c>
      <c r="H715" s="3" t="str">
        <f t="shared" si="1"/>
        <v>#NAME?</v>
      </c>
      <c r="I715" s="2" t="s">
        <v>4232</v>
      </c>
    </row>
    <row r="716">
      <c r="A716" s="1">
        <v>715.0</v>
      </c>
      <c r="B716" s="1" t="s">
        <v>4229</v>
      </c>
      <c r="C716" s="1" t="s">
        <v>4230</v>
      </c>
      <c r="D716" s="1" t="s">
        <v>4230</v>
      </c>
      <c r="E716" s="14" t="str">
        <f t="shared" si="2"/>
        <v>#NAME?</v>
      </c>
      <c r="F716" s="15" t="str">
        <f>IFERROR(__xludf.DUMMYFUNCTION("GOOGLETRANSLATE(D716,""zh-CN"", ""en"")"),"slightly")</f>
        <v>slightly</v>
      </c>
      <c r="G716" s="2" t="s">
        <v>4233</v>
      </c>
      <c r="H716" s="3" t="str">
        <f t="shared" si="1"/>
        <v>#NAME?</v>
      </c>
      <c r="I716" s="2" t="s">
        <v>4234</v>
      </c>
    </row>
    <row r="717">
      <c r="A717" s="1">
        <v>716.0</v>
      </c>
      <c r="B717" s="1" t="s">
        <v>4235</v>
      </c>
      <c r="C717" s="1" t="s">
        <v>4236</v>
      </c>
      <c r="D717" s="1" t="s">
        <v>4236</v>
      </c>
      <c r="E717" s="14" t="str">
        <f t="shared" si="2"/>
        <v>#NAME?</v>
      </c>
      <c r="F717" s="15" t="str">
        <f>IFERROR(__xludf.DUMMYFUNCTION("GOOGLETRANSLATE(D717,""zh-CN"", ""en"")"),"Especially")</f>
        <v>Especially</v>
      </c>
      <c r="G717" s="2" t="s">
        <v>4237</v>
      </c>
      <c r="H717" s="3" t="str">
        <f t="shared" si="1"/>
        <v>#NAME?</v>
      </c>
      <c r="I717" s="2" t="s">
        <v>4238</v>
      </c>
    </row>
    <row r="718">
      <c r="A718" s="1"/>
      <c r="B718" s="1" t="s">
        <v>4235</v>
      </c>
      <c r="C718" s="1" t="s">
        <v>4236</v>
      </c>
      <c r="D718" s="1" t="s">
        <v>4236</v>
      </c>
      <c r="E718" s="14" t="str">
        <f t="shared" si="2"/>
        <v>#NAME?</v>
      </c>
      <c r="F718" s="15" t="str">
        <f>IFERROR(__xludf.DUMMYFUNCTION("GOOGLETRANSLATE(D718,""zh-CN"", ""en"")"),"Especially")</f>
        <v>Especially</v>
      </c>
      <c r="G718" s="2" t="s">
        <v>4239</v>
      </c>
      <c r="H718" s="3" t="str">
        <f t="shared" si="1"/>
        <v>#NAME?</v>
      </c>
      <c r="I718" s="2" t="s">
        <v>4240</v>
      </c>
    </row>
    <row r="719">
      <c r="A719" s="1">
        <v>718.0</v>
      </c>
      <c r="B719" s="1" t="s">
        <v>4241</v>
      </c>
      <c r="C719" s="1" t="s">
        <v>4242</v>
      </c>
      <c r="D719" s="1" t="s">
        <v>4242</v>
      </c>
      <c r="E719" s="14" t="str">
        <f t="shared" si="2"/>
        <v>#NAME?</v>
      </c>
      <c r="F719" s="15" t="str">
        <f>IFERROR(__xludf.DUMMYFUNCTION("GOOGLETRANSLATE(D719,""zh-CN"", ""en"")"),"increasingly")</f>
        <v>increasingly</v>
      </c>
      <c r="G719" s="2" t="s">
        <v>4243</v>
      </c>
      <c r="H719" s="3" t="str">
        <f t="shared" si="1"/>
        <v>#NAME?</v>
      </c>
      <c r="I719" s="2" t="s">
        <v>4244</v>
      </c>
    </row>
    <row r="720">
      <c r="A720" s="1">
        <v>719.0</v>
      </c>
      <c r="B720" s="1" t="s">
        <v>4241</v>
      </c>
      <c r="C720" s="1" t="s">
        <v>4242</v>
      </c>
      <c r="D720" s="1" t="s">
        <v>4242</v>
      </c>
      <c r="E720" s="14" t="str">
        <f t="shared" si="2"/>
        <v>#NAME?</v>
      </c>
      <c r="F720" s="15" t="str">
        <f>IFERROR(__xludf.DUMMYFUNCTION("GOOGLETRANSLATE(D720,""zh-CN"", ""en"")"),"increasingly")</f>
        <v>increasingly</v>
      </c>
      <c r="G720" s="2" t="s">
        <v>4245</v>
      </c>
      <c r="H720" s="3" t="str">
        <f t="shared" si="1"/>
        <v>#NAME?</v>
      </c>
      <c r="I720" s="2" t="s">
        <v>4246</v>
      </c>
    </row>
    <row r="721">
      <c r="A721" s="1">
        <v>720.0</v>
      </c>
      <c r="B721" s="1" t="s">
        <v>4247</v>
      </c>
      <c r="C721" s="1" t="s">
        <v>4248</v>
      </c>
      <c r="D721" s="1" t="s">
        <v>4249</v>
      </c>
      <c r="E721" s="14" t="str">
        <f t="shared" si="2"/>
        <v>#NAME?</v>
      </c>
      <c r="F721" s="15" t="str">
        <f>IFERROR(__xludf.DUMMYFUNCTION("GOOGLETRANSLATE(D721,""zh-CN"", ""en"")"),"Everything")</f>
        <v>Everything</v>
      </c>
      <c r="G721" s="2" t="s">
        <v>4250</v>
      </c>
      <c r="H721" s="3" t="str">
        <f t="shared" si="1"/>
        <v>#NAME?</v>
      </c>
      <c r="I721" s="2" t="s">
        <v>4251</v>
      </c>
    </row>
    <row r="722">
      <c r="A722" s="1">
        <v>721.0</v>
      </c>
      <c r="B722" s="1" t="s">
        <v>4247</v>
      </c>
      <c r="C722" s="1" t="s">
        <v>4248</v>
      </c>
      <c r="D722" s="1" t="s">
        <v>4252</v>
      </c>
      <c r="E722" s="14" t="str">
        <f t="shared" si="2"/>
        <v>#NAME?</v>
      </c>
      <c r="F722" s="15" t="str">
        <f>IFERROR(__xludf.DUMMYFUNCTION("GOOGLETRANSLATE(D722,""zh-CN"", ""en"")"),"But all")</f>
        <v>But all</v>
      </c>
      <c r="G722" s="2" t="s">
        <v>4253</v>
      </c>
      <c r="H722" s="3" t="str">
        <f t="shared" si="1"/>
        <v>#NAME?</v>
      </c>
      <c r="I722" s="2" t="s">
        <v>4254</v>
      </c>
    </row>
    <row r="723">
      <c r="A723" s="1">
        <v>722.0</v>
      </c>
      <c r="B723" s="1" t="s">
        <v>4255</v>
      </c>
      <c r="C723" s="1" t="s">
        <v>4256</v>
      </c>
      <c r="D723" s="1" t="s">
        <v>4257</v>
      </c>
      <c r="E723" s="14" t="str">
        <f t="shared" si="2"/>
        <v>#NAME?</v>
      </c>
      <c r="F723" s="15" t="str">
        <f>IFERROR(__xludf.DUMMYFUNCTION("GOOGLETRANSLATE(D723,""zh-CN"", ""en"")"),"Everyone knows")</f>
        <v>Everyone knows</v>
      </c>
      <c r="G723" s="2" t="s">
        <v>4258</v>
      </c>
      <c r="H723" s="3" t="str">
        <f t="shared" si="1"/>
        <v>#NAME?</v>
      </c>
      <c r="I723" s="2" t="s">
        <v>4259</v>
      </c>
    </row>
    <row r="724">
      <c r="A724" s="1">
        <v>723.0</v>
      </c>
      <c r="B724" s="1" t="s">
        <v>4255</v>
      </c>
      <c r="C724" s="1" t="s">
        <v>4256</v>
      </c>
      <c r="D724" s="1" t="s">
        <v>4260</v>
      </c>
      <c r="E724" s="14" t="str">
        <f t="shared" si="2"/>
        <v>#NAME?</v>
      </c>
      <c r="F724" s="15" t="str">
        <f>IFERROR(__xludf.DUMMYFUNCTION("GOOGLETRANSLATE(D724,""zh-CN"", ""en"")"),"Either is acceptable")</f>
        <v>Either is acceptable</v>
      </c>
      <c r="G724" s="2" t="s">
        <v>4261</v>
      </c>
      <c r="H724" s="3" t="str">
        <f t="shared" si="1"/>
        <v>#NAME?</v>
      </c>
      <c r="I724" s="2" t="s">
        <v>4262</v>
      </c>
    </row>
    <row r="725">
      <c r="A725" s="1">
        <v>724.0</v>
      </c>
      <c r="B725" s="1" t="s">
        <v>4263</v>
      </c>
      <c r="C725" s="1" t="s">
        <v>3663</v>
      </c>
      <c r="D725" s="1" t="s">
        <v>3663</v>
      </c>
      <c r="E725" s="14" t="str">
        <f t="shared" si="2"/>
        <v>#NAME?</v>
      </c>
      <c r="F725" s="15" t="str">
        <f>IFERROR(__xludf.DUMMYFUNCTION("GOOGLETRANSLATE(D725,""zh-CN"", ""en"")"),"all")</f>
        <v>all</v>
      </c>
      <c r="G725" s="2" t="s">
        <v>4264</v>
      </c>
      <c r="H725" s="3" t="str">
        <f t="shared" si="1"/>
        <v>#NAME?</v>
      </c>
      <c r="I725" s="2" t="s">
        <v>4265</v>
      </c>
    </row>
    <row r="726">
      <c r="A726" s="1">
        <v>725.0</v>
      </c>
      <c r="B726" s="1" t="s">
        <v>4263</v>
      </c>
      <c r="C726" s="1" t="s">
        <v>3663</v>
      </c>
      <c r="D726" s="1" t="s">
        <v>3663</v>
      </c>
      <c r="E726" s="14" t="str">
        <f t="shared" si="2"/>
        <v>#NAME?</v>
      </c>
      <c r="F726" s="15" t="str">
        <f>IFERROR(__xludf.DUMMYFUNCTION("GOOGLETRANSLATE(D726,""zh-CN"", ""en"")"),"all")</f>
        <v>all</v>
      </c>
      <c r="G726" s="2" t="s">
        <v>4266</v>
      </c>
      <c r="H726" s="3" t="str">
        <f t="shared" si="1"/>
        <v>#NAME?</v>
      </c>
      <c r="I726" s="2" t="s">
        <v>4267</v>
      </c>
    </row>
    <row r="727">
      <c r="A727" s="1">
        <v>726.0</v>
      </c>
      <c r="B727" s="1" t="s">
        <v>4268</v>
      </c>
      <c r="C727" s="1" t="s">
        <v>3539</v>
      </c>
      <c r="D727" s="1" t="s">
        <v>3539</v>
      </c>
      <c r="E727" s="14" t="str">
        <f t="shared" si="2"/>
        <v>#NAME?</v>
      </c>
      <c r="F727" s="15" t="str">
        <f>IFERROR(__xludf.DUMMYFUNCTION("GOOGLETRANSLATE(D727,""zh-CN"", ""en"")"),"Only")</f>
        <v>Only</v>
      </c>
      <c r="G727" s="2" t="s">
        <v>4269</v>
      </c>
      <c r="H727" s="3" t="str">
        <f t="shared" si="1"/>
        <v>#NAME?</v>
      </c>
      <c r="I727" s="2" t="s">
        <v>4270</v>
      </c>
    </row>
    <row r="728">
      <c r="A728" s="1">
        <v>727.0</v>
      </c>
      <c r="B728" s="1" t="s">
        <v>4268</v>
      </c>
      <c r="C728" s="1" t="s">
        <v>3539</v>
      </c>
      <c r="D728" s="1" t="s">
        <v>3539</v>
      </c>
      <c r="E728" s="14" t="str">
        <f t="shared" si="2"/>
        <v>#NAME?</v>
      </c>
      <c r="F728" s="15" t="str">
        <f>IFERROR(__xludf.DUMMYFUNCTION("GOOGLETRANSLATE(D728,""zh-CN"", ""en"")"),"Only")</f>
        <v>Only</v>
      </c>
      <c r="G728" s="2" t="s">
        <v>4271</v>
      </c>
      <c r="H728" s="3" t="str">
        <f t="shared" si="1"/>
        <v>#NAME?</v>
      </c>
      <c r="I728" s="2" t="s">
        <v>4272</v>
      </c>
    </row>
    <row r="729">
      <c r="A729" s="1">
        <v>728.0</v>
      </c>
      <c r="B729" s="1" t="s">
        <v>4273</v>
      </c>
      <c r="C729" s="1" t="s">
        <v>2757</v>
      </c>
      <c r="D729" s="1" t="s">
        <v>2757</v>
      </c>
      <c r="E729" s="14" t="str">
        <f t="shared" si="2"/>
        <v>#NAME?</v>
      </c>
      <c r="F729" s="15" t="str">
        <f>IFERROR(__xludf.DUMMYFUNCTION("GOOGLETRANSLATE(D729,""zh-CN"", ""en"")"),"Right now")</f>
        <v>Right now</v>
      </c>
      <c r="G729" s="2" t="s">
        <v>4274</v>
      </c>
      <c r="H729" s="3" t="str">
        <f t="shared" si="1"/>
        <v>#NAME?</v>
      </c>
      <c r="I729" s="2" t="s">
        <v>4275</v>
      </c>
    </row>
    <row r="730">
      <c r="A730" s="1">
        <v>729.0</v>
      </c>
      <c r="B730" s="1" t="s">
        <v>4273</v>
      </c>
      <c r="C730" s="1" t="s">
        <v>2757</v>
      </c>
      <c r="D730" s="1" t="s">
        <v>2757</v>
      </c>
      <c r="E730" s="14" t="str">
        <f t="shared" si="2"/>
        <v>#NAME?</v>
      </c>
      <c r="F730" s="15" t="str">
        <f>IFERROR(__xludf.DUMMYFUNCTION("GOOGLETRANSLATE(D730,""zh-CN"", ""en"")"),"Right now")</f>
        <v>Right now</v>
      </c>
      <c r="G730" s="2" t="s">
        <v>4276</v>
      </c>
      <c r="H730" s="3" t="str">
        <f t="shared" si="1"/>
        <v>#NAME?</v>
      </c>
      <c r="I730" s="2" t="s">
        <v>4277</v>
      </c>
    </row>
    <row r="731">
      <c r="A731" s="1">
        <v>730.0</v>
      </c>
      <c r="B731" s="1" t="s">
        <v>4278</v>
      </c>
      <c r="C731" s="1" t="s">
        <v>4279</v>
      </c>
      <c r="D731" s="1" t="s">
        <v>4279</v>
      </c>
      <c r="E731" s="14" t="str">
        <f t="shared" si="2"/>
        <v>#NAME?</v>
      </c>
      <c r="F731" s="15" t="str">
        <f>IFERROR(__xludf.DUMMYFUNCTION("GOOGLETRANSLATE(D731,""zh-CN"", ""en"")"),"always")</f>
        <v>always</v>
      </c>
      <c r="G731" s="2" t="s">
        <v>4280</v>
      </c>
      <c r="H731" s="3" t="str">
        <f t="shared" si="1"/>
        <v>#NAME?</v>
      </c>
      <c r="I731" s="2" t="s">
        <v>4281</v>
      </c>
    </row>
    <row r="732">
      <c r="A732" s="1">
        <v>731.0</v>
      </c>
      <c r="B732" s="1" t="s">
        <v>4278</v>
      </c>
      <c r="C732" s="1" t="s">
        <v>4279</v>
      </c>
      <c r="D732" s="1" t="s">
        <v>4279</v>
      </c>
      <c r="E732" s="14" t="str">
        <f t="shared" si="2"/>
        <v>#NAME?</v>
      </c>
      <c r="F732" s="15" t="str">
        <f>IFERROR(__xludf.DUMMYFUNCTION("GOOGLETRANSLATE(D732,""zh-CN"", ""en"")"),"always")</f>
        <v>always</v>
      </c>
      <c r="G732" s="2" t="s">
        <v>4282</v>
      </c>
      <c r="H732" s="3" t="str">
        <f t="shared" si="1"/>
        <v>#NAME?</v>
      </c>
      <c r="I732" s="2" t="s">
        <v>4283</v>
      </c>
    </row>
    <row r="733">
      <c r="A733" s="1">
        <v>732.0</v>
      </c>
      <c r="B733" s="1" t="s">
        <v>4284</v>
      </c>
      <c r="C733" s="1" t="s">
        <v>4285</v>
      </c>
      <c r="D733" s="1" t="s">
        <v>4285</v>
      </c>
      <c r="E733" s="14" t="str">
        <f t="shared" si="2"/>
        <v>#NAME?</v>
      </c>
      <c r="F733" s="15" t="str">
        <f>IFERROR(__xludf.DUMMYFUNCTION("GOOGLETRANSLATE(D733,""zh-CN"", ""en"")"),"still")</f>
        <v>still</v>
      </c>
      <c r="G733" s="2" t="s">
        <v>4286</v>
      </c>
      <c r="H733" s="3" t="str">
        <f t="shared" si="1"/>
        <v>#NAME?</v>
      </c>
      <c r="I733" s="2" t="s">
        <v>4287</v>
      </c>
    </row>
    <row r="734">
      <c r="A734" s="1">
        <v>733.0</v>
      </c>
      <c r="B734" s="1" t="s">
        <v>4284</v>
      </c>
      <c r="C734" s="1" t="s">
        <v>4285</v>
      </c>
      <c r="D734" s="1" t="s">
        <v>4285</v>
      </c>
      <c r="E734" s="14" t="str">
        <f t="shared" si="2"/>
        <v>#NAME?</v>
      </c>
      <c r="F734" s="15" t="str">
        <f>IFERROR(__xludf.DUMMYFUNCTION("GOOGLETRANSLATE(D734,""zh-CN"", ""en"")"),"still")</f>
        <v>still</v>
      </c>
      <c r="G734" s="2" t="s">
        <v>4288</v>
      </c>
      <c r="H734" s="3" t="str">
        <f t="shared" si="1"/>
        <v>#NAME?</v>
      </c>
      <c r="I734" s="2" t="s">
        <v>4289</v>
      </c>
    </row>
    <row r="735">
      <c r="A735" s="1">
        <v>734.0</v>
      </c>
      <c r="B735" s="1" t="s">
        <v>4290</v>
      </c>
      <c r="C735" s="1" t="s">
        <v>4291</v>
      </c>
      <c r="D735" s="1" t="s">
        <v>4291</v>
      </c>
      <c r="E735" s="14" t="str">
        <f t="shared" si="2"/>
        <v>#NAME?</v>
      </c>
      <c r="F735" s="15" t="str">
        <f>IFERROR(__xludf.DUMMYFUNCTION("GOOGLETRANSLATE(D735,""zh-CN"", ""en"")"),"always")</f>
        <v>always</v>
      </c>
      <c r="G735" s="2" t="s">
        <v>4292</v>
      </c>
      <c r="H735" s="3" t="str">
        <f t="shared" si="1"/>
        <v>#NAME?</v>
      </c>
      <c r="I735" s="2" t="s">
        <v>4293</v>
      </c>
    </row>
    <row r="736">
      <c r="A736" s="1">
        <v>735.0</v>
      </c>
      <c r="B736" s="1" t="s">
        <v>4290</v>
      </c>
      <c r="C736" s="1" t="s">
        <v>4291</v>
      </c>
      <c r="D736" s="1" t="s">
        <v>4291</v>
      </c>
      <c r="E736" s="14" t="str">
        <f t="shared" si="2"/>
        <v>#NAME?</v>
      </c>
      <c r="F736" s="15" t="str">
        <f>IFERROR(__xludf.DUMMYFUNCTION("GOOGLETRANSLATE(D736,""zh-CN"", ""en"")"),"always")</f>
        <v>always</v>
      </c>
      <c r="G736" s="2" t="s">
        <v>4294</v>
      </c>
      <c r="H736" s="3" t="str">
        <f t="shared" si="1"/>
        <v>#NAME?</v>
      </c>
      <c r="I736" s="2" t="s">
        <v>4295</v>
      </c>
    </row>
    <row r="737">
      <c r="A737" s="1">
        <v>736.0</v>
      </c>
      <c r="B737" s="1" t="s">
        <v>4296</v>
      </c>
      <c r="C737" s="1" t="s">
        <v>4297</v>
      </c>
      <c r="D737" s="1" t="s">
        <v>4297</v>
      </c>
      <c r="E737" s="14" t="str">
        <f t="shared" si="2"/>
        <v>#NAME?</v>
      </c>
      <c r="F737" s="15" t="str">
        <f>IFERROR(__xludf.DUMMYFUNCTION("GOOGLETRANSLATE(D737,""zh-CN"", ""en"")"),"Frequently")</f>
        <v>Frequently</v>
      </c>
      <c r="G737" s="2" t="s">
        <v>4298</v>
      </c>
      <c r="H737" s="3" t="str">
        <f t="shared" si="1"/>
        <v>#NAME?</v>
      </c>
      <c r="I737" s="2" t="s">
        <v>4299</v>
      </c>
    </row>
    <row r="738">
      <c r="A738" s="1">
        <v>737.0</v>
      </c>
      <c r="B738" s="1" t="s">
        <v>4296</v>
      </c>
      <c r="C738" s="1" t="s">
        <v>4297</v>
      </c>
      <c r="D738" s="1" t="s">
        <v>4297</v>
      </c>
      <c r="E738" s="14" t="str">
        <f t="shared" si="2"/>
        <v>#NAME?</v>
      </c>
      <c r="F738" s="15" t="str">
        <f>IFERROR(__xludf.DUMMYFUNCTION("GOOGLETRANSLATE(D738,""zh-CN"", ""en"")"),"Frequently")</f>
        <v>Frequently</v>
      </c>
      <c r="G738" s="2" t="s">
        <v>4300</v>
      </c>
      <c r="H738" s="3" t="str">
        <f t="shared" si="1"/>
        <v>#NAME?</v>
      </c>
      <c r="I738" s="2" t="s">
        <v>4301</v>
      </c>
    </row>
    <row r="739">
      <c r="A739" s="1">
        <v>738.0</v>
      </c>
      <c r="B739" s="1" t="s">
        <v>4302</v>
      </c>
      <c r="C739" s="1" t="s">
        <v>4303</v>
      </c>
      <c r="D739" s="1" t="s">
        <v>4303</v>
      </c>
      <c r="E739" s="14" t="str">
        <f t="shared" si="2"/>
        <v>#NAME?</v>
      </c>
      <c r="F739" s="15" t="str">
        <f>IFERROR(__xludf.DUMMYFUNCTION("GOOGLETRANSLATE(D739,""zh-CN"", ""en"")"),"once again")</f>
        <v>once again</v>
      </c>
      <c r="G739" s="2" t="s">
        <v>4304</v>
      </c>
      <c r="H739" s="3" t="str">
        <f t="shared" si="1"/>
        <v>#NAME?</v>
      </c>
      <c r="I739" s="2" t="s">
        <v>4305</v>
      </c>
    </row>
    <row r="740">
      <c r="A740" s="1">
        <v>739.0</v>
      </c>
      <c r="B740" s="1" t="s">
        <v>4302</v>
      </c>
      <c r="C740" s="1" t="s">
        <v>4303</v>
      </c>
      <c r="D740" s="1" t="s">
        <v>4303</v>
      </c>
      <c r="E740" s="14" t="str">
        <f t="shared" si="2"/>
        <v>#NAME?</v>
      </c>
      <c r="F740" s="15" t="str">
        <f>IFERROR(__xludf.DUMMYFUNCTION("GOOGLETRANSLATE(D740,""zh-CN"", ""en"")"),"once again")</f>
        <v>once again</v>
      </c>
      <c r="G740" s="2" t="s">
        <v>4306</v>
      </c>
      <c r="H740" s="3" t="str">
        <f t="shared" si="1"/>
        <v>#NAME?</v>
      </c>
      <c r="I740" s="2" t="s">
        <v>4307</v>
      </c>
    </row>
    <row r="741">
      <c r="A741" s="1">
        <v>740.0</v>
      </c>
      <c r="B741" s="1" t="s">
        <v>4308</v>
      </c>
      <c r="C741" s="1" t="s">
        <v>4309</v>
      </c>
      <c r="D741" s="1" t="s">
        <v>4309</v>
      </c>
      <c r="E741" s="14" t="str">
        <f t="shared" si="2"/>
        <v>#NAME?</v>
      </c>
      <c r="F741" s="15" t="str">
        <f>IFERROR(__xludf.DUMMYFUNCTION("GOOGLETRANSLATE(D741,""zh-CN"", ""en"")"),"as well as")</f>
        <v>as well as</v>
      </c>
      <c r="G741" s="2" t="s">
        <v>4310</v>
      </c>
      <c r="H741" s="3" t="str">
        <f t="shared" si="1"/>
        <v>#NAME?</v>
      </c>
      <c r="I741" s="2" t="s">
        <v>4311</v>
      </c>
    </row>
    <row r="742">
      <c r="A742" s="1">
        <v>741.0</v>
      </c>
      <c r="B742" s="1" t="s">
        <v>4308</v>
      </c>
      <c r="C742" s="1" t="s">
        <v>4309</v>
      </c>
      <c r="D742" s="1" t="s">
        <v>4309</v>
      </c>
      <c r="E742" s="14" t="str">
        <f t="shared" si="2"/>
        <v>#NAME?</v>
      </c>
      <c r="F742" s="15" t="str">
        <f>IFERROR(__xludf.DUMMYFUNCTION("GOOGLETRANSLATE(D742,""zh-CN"", ""en"")"),"as well as")</f>
        <v>as well as</v>
      </c>
      <c r="G742" s="2" t="s">
        <v>4312</v>
      </c>
      <c r="H742" s="3" t="str">
        <f t="shared" si="1"/>
        <v>#NAME?</v>
      </c>
      <c r="I742" s="2" t="s">
        <v>4313</v>
      </c>
    </row>
    <row r="743">
      <c r="A743" s="1">
        <v>742.0</v>
      </c>
      <c r="B743" s="1" t="s">
        <v>4314</v>
      </c>
      <c r="C743" s="1" t="s">
        <v>4315</v>
      </c>
      <c r="D743" s="1" t="s">
        <v>4315</v>
      </c>
      <c r="E743" s="14" t="str">
        <f t="shared" si="2"/>
        <v>#NAME?</v>
      </c>
      <c r="F743" s="15" t="str">
        <f>IFERROR(__xludf.DUMMYFUNCTION("GOOGLETRANSLATE(D743,""zh-CN"", ""en"")"),"not yet")</f>
        <v>not yet</v>
      </c>
      <c r="G743" s="2" t="s">
        <v>4316</v>
      </c>
      <c r="H743" s="3" t="str">
        <f t="shared" si="1"/>
        <v>#NAME?</v>
      </c>
      <c r="I743" s="2" t="s">
        <v>4317</v>
      </c>
    </row>
    <row r="744">
      <c r="A744" s="1">
        <v>743.0</v>
      </c>
      <c r="B744" s="1" t="s">
        <v>4314</v>
      </c>
      <c r="C744" s="1" t="s">
        <v>4315</v>
      </c>
      <c r="D744" s="1" t="s">
        <v>4315</v>
      </c>
      <c r="E744" s="14" t="str">
        <f t="shared" si="2"/>
        <v>#NAME?</v>
      </c>
      <c r="F744" s="15" t="str">
        <f>IFERROR(__xludf.DUMMYFUNCTION("GOOGLETRANSLATE(D744,""zh-CN"", ""en"")"),"not yet")</f>
        <v>not yet</v>
      </c>
      <c r="G744" s="2" t="s">
        <v>4318</v>
      </c>
      <c r="H744" s="3" t="str">
        <f t="shared" si="1"/>
        <v>#NAME?</v>
      </c>
      <c r="I744" s="2" t="s">
        <v>4319</v>
      </c>
    </row>
    <row r="745">
      <c r="A745" s="1">
        <v>744.0</v>
      </c>
      <c r="B745" s="1" t="s">
        <v>4320</v>
      </c>
      <c r="C745" s="1" t="s">
        <v>2320</v>
      </c>
      <c r="D745" s="1" t="s">
        <v>2320</v>
      </c>
      <c r="E745" s="14" t="str">
        <f t="shared" si="2"/>
        <v>#NAME?</v>
      </c>
      <c r="F745" s="15" t="str">
        <f>IFERROR(__xludf.DUMMYFUNCTION("GOOGLETRANSLATE(D745,""zh-CN"", ""en"")"),"do not")</f>
        <v>do not</v>
      </c>
      <c r="G745" s="2" t="s">
        <v>4321</v>
      </c>
      <c r="H745" s="3" t="str">
        <f t="shared" si="1"/>
        <v>#NAME?</v>
      </c>
      <c r="I745" s="2" t="s">
        <v>4322</v>
      </c>
    </row>
    <row r="746">
      <c r="A746" s="1">
        <v>745.0</v>
      </c>
      <c r="B746" s="1" t="s">
        <v>4320</v>
      </c>
      <c r="C746" s="1" t="s">
        <v>2320</v>
      </c>
      <c r="D746" s="1" t="s">
        <v>2320</v>
      </c>
      <c r="E746" s="14" t="str">
        <f t="shared" si="2"/>
        <v>#NAME?</v>
      </c>
      <c r="F746" s="15" t="str">
        <f>IFERROR(__xludf.DUMMYFUNCTION("GOOGLETRANSLATE(D746,""zh-CN"", ""en"")"),"do not")</f>
        <v>do not</v>
      </c>
      <c r="G746" s="2" t="s">
        <v>4323</v>
      </c>
      <c r="H746" s="3" t="str">
        <f t="shared" si="1"/>
        <v>#NAME?</v>
      </c>
      <c r="I746" s="2" t="s">
        <v>4324</v>
      </c>
    </row>
    <row r="747">
      <c r="A747" s="1">
        <v>746.0</v>
      </c>
      <c r="B747" s="1" t="s">
        <v>4325</v>
      </c>
      <c r="C747" s="1" t="s">
        <v>3455</v>
      </c>
      <c r="D747" s="1" t="s">
        <v>3455</v>
      </c>
      <c r="E747" s="14" t="str">
        <f t="shared" si="2"/>
        <v>#NAME?</v>
      </c>
      <c r="F747" s="15" t="str">
        <f>IFERROR(__xludf.DUMMYFUNCTION("GOOGLETRANSLATE(D747,""zh-CN"", ""en"")"),"Involuntarily")</f>
        <v>Involuntarily</v>
      </c>
      <c r="G747" s="2" t="s">
        <v>4326</v>
      </c>
      <c r="H747" s="3" t="str">
        <f t="shared" si="1"/>
        <v>#NAME?</v>
      </c>
      <c r="I747" s="2" t="s">
        <v>4327</v>
      </c>
    </row>
    <row r="748">
      <c r="A748" s="1">
        <v>747.0</v>
      </c>
      <c r="B748" s="1" t="s">
        <v>4325</v>
      </c>
      <c r="C748" s="1" t="s">
        <v>3455</v>
      </c>
      <c r="D748" s="1" t="s">
        <v>3455</v>
      </c>
      <c r="E748" s="14" t="str">
        <f t="shared" si="2"/>
        <v>#NAME?</v>
      </c>
      <c r="F748" s="15" t="str">
        <f>IFERROR(__xludf.DUMMYFUNCTION("GOOGLETRANSLATE(D748,""zh-CN"", ""en"")"),"Involuntarily")</f>
        <v>Involuntarily</v>
      </c>
      <c r="G748" s="2" t="s">
        <v>4328</v>
      </c>
      <c r="H748" s="3" t="str">
        <f t="shared" si="1"/>
        <v>#NAME?</v>
      </c>
      <c r="I748" s="2" t="s">
        <v>4329</v>
      </c>
    </row>
    <row r="749">
      <c r="A749" s="1">
        <v>748.0</v>
      </c>
      <c r="B749" s="1" t="s">
        <v>4330</v>
      </c>
      <c r="C749" s="1" t="s">
        <v>4331</v>
      </c>
      <c r="D749" s="1" t="s">
        <v>4331</v>
      </c>
      <c r="E749" s="14" t="str">
        <f t="shared" si="2"/>
        <v>#NAME?</v>
      </c>
      <c r="F749" s="15" t="str">
        <f>IFERROR(__xludf.DUMMYFUNCTION("GOOGLETRANSLATE(D749,""zh-CN"", ""en"")"),"By the way")</f>
        <v>By the way</v>
      </c>
      <c r="G749" s="2" t="s">
        <v>4332</v>
      </c>
      <c r="H749" s="3" t="str">
        <f t="shared" si="1"/>
        <v>#NAME?</v>
      </c>
      <c r="I749" s="2" t="s">
        <v>4333</v>
      </c>
    </row>
    <row r="750">
      <c r="A750" s="1">
        <v>749.0</v>
      </c>
      <c r="B750" s="1" t="s">
        <v>4330</v>
      </c>
      <c r="C750" s="1" t="s">
        <v>4331</v>
      </c>
      <c r="D750" s="1" t="s">
        <v>4331</v>
      </c>
      <c r="E750" s="14" t="str">
        <f t="shared" si="2"/>
        <v>#NAME?</v>
      </c>
      <c r="F750" s="15" t="str">
        <f>IFERROR(__xludf.DUMMYFUNCTION("GOOGLETRANSLATE(D750,""zh-CN"", ""en"")"),"By the way")</f>
        <v>By the way</v>
      </c>
      <c r="G750" s="2" t="s">
        <v>4334</v>
      </c>
      <c r="H750" s="3" t="str">
        <f t="shared" si="1"/>
        <v>#NAME?</v>
      </c>
      <c r="I750" s="2" t="s">
        <v>4335</v>
      </c>
    </row>
    <row r="751">
      <c r="A751" s="1">
        <v>750.0</v>
      </c>
      <c r="B751" s="1" t="s">
        <v>4336</v>
      </c>
      <c r="C751" s="1" t="s">
        <v>4337</v>
      </c>
      <c r="D751" s="1" t="s">
        <v>4337</v>
      </c>
      <c r="E751" s="14" t="str">
        <f t="shared" si="2"/>
        <v>#NAME?</v>
      </c>
      <c r="F751" s="15" t="str">
        <f>IFERROR(__xludf.DUMMYFUNCTION("GOOGLETRANSLATE(D751,""zh-CN"", ""en"")"),"One in a row")</f>
        <v>One in a row</v>
      </c>
      <c r="G751" s="2" t="s">
        <v>4338</v>
      </c>
      <c r="H751" s="3" t="str">
        <f t="shared" si="1"/>
        <v>#NAME?</v>
      </c>
      <c r="I751" s="2" t="s">
        <v>4339</v>
      </c>
    </row>
    <row r="752">
      <c r="A752" s="1">
        <v>751.0</v>
      </c>
      <c r="B752" s="1" t="s">
        <v>4336</v>
      </c>
      <c r="C752" s="1" t="s">
        <v>4337</v>
      </c>
      <c r="D752" s="1" t="s">
        <v>4337</v>
      </c>
      <c r="E752" s="14" t="str">
        <f t="shared" si="2"/>
        <v>#NAME?</v>
      </c>
      <c r="F752" s="15" t="str">
        <f>IFERROR(__xludf.DUMMYFUNCTION("GOOGLETRANSLATE(D752,""zh-CN"", ""en"")"),"One in a row")</f>
        <v>One in a row</v>
      </c>
      <c r="G752" s="2" t="s">
        <v>4340</v>
      </c>
      <c r="H752" s="3" t="str">
        <f t="shared" si="1"/>
        <v>#NAME?</v>
      </c>
      <c r="I752" s="2" t="s">
        <v>4341</v>
      </c>
    </row>
    <row r="753">
      <c r="A753" s="1">
        <v>752.0</v>
      </c>
      <c r="B753" s="1" t="s">
        <v>4342</v>
      </c>
      <c r="C753" s="1" t="s">
        <v>4343</v>
      </c>
      <c r="D753" s="1" t="s">
        <v>4343</v>
      </c>
      <c r="E753" s="14" t="str">
        <f t="shared" si="2"/>
        <v>#NAME?</v>
      </c>
      <c r="F753" s="15" t="str">
        <f>IFERROR(__xludf.DUMMYFUNCTION("GOOGLETRANSLATE(D753,""zh-CN"", ""en"")"),"According to")</f>
        <v>According to</v>
      </c>
      <c r="G753" s="2" t="s">
        <v>4344</v>
      </c>
      <c r="H753" s="3" t="str">
        <f t="shared" si="1"/>
        <v>#NAME?</v>
      </c>
      <c r="I753" s="2" t="s">
        <v>4345</v>
      </c>
    </row>
    <row r="754">
      <c r="A754" s="1">
        <v>753.0</v>
      </c>
      <c r="B754" s="1" t="s">
        <v>4342</v>
      </c>
      <c r="C754" s="1" t="s">
        <v>4343</v>
      </c>
      <c r="D754" s="1" t="s">
        <v>4343</v>
      </c>
      <c r="E754" s="14" t="str">
        <f t="shared" si="2"/>
        <v>#NAME?</v>
      </c>
      <c r="F754" s="15" t="str">
        <f>IFERROR(__xludf.DUMMYFUNCTION("GOOGLETRANSLATE(D754,""zh-CN"", ""en"")"),"According to")</f>
        <v>According to</v>
      </c>
      <c r="G754" s="2" t="s">
        <v>4346</v>
      </c>
      <c r="H754" s="3" t="str">
        <f t="shared" si="1"/>
        <v>#NAME?</v>
      </c>
      <c r="I754" s="2" t="s">
        <v>4347</v>
      </c>
    </row>
    <row r="755">
      <c r="A755" s="1">
        <v>754.0</v>
      </c>
      <c r="B755" s="1" t="s">
        <v>4348</v>
      </c>
      <c r="C755" s="1" t="s">
        <v>4349</v>
      </c>
      <c r="D755" s="1" t="s">
        <v>4349</v>
      </c>
      <c r="E755" s="14" t="str">
        <f t="shared" si="2"/>
        <v>#NAME?</v>
      </c>
      <c r="F755" s="15" t="str">
        <f>IFERROR(__xludf.DUMMYFUNCTION("GOOGLETRANSLATE(D755,""zh-CN"", ""en"")"),"Must")</f>
        <v>Must</v>
      </c>
      <c r="G755" s="2" t="s">
        <v>4350</v>
      </c>
      <c r="H755" s="3" t="str">
        <f t="shared" si="1"/>
        <v>#NAME?</v>
      </c>
      <c r="I755" s="2" t="s">
        <v>4351</v>
      </c>
    </row>
    <row r="756">
      <c r="A756" s="1">
        <v>755.0</v>
      </c>
      <c r="B756" s="1" t="s">
        <v>4348</v>
      </c>
      <c r="C756" s="1" t="s">
        <v>4349</v>
      </c>
      <c r="D756" s="1" t="s">
        <v>4349</v>
      </c>
      <c r="E756" s="14" t="str">
        <f t="shared" si="2"/>
        <v>#NAME?</v>
      </c>
      <c r="F756" s="15" t="str">
        <f>IFERROR(__xludf.DUMMYFUNCTION("GOOGLETRANSLATE(D756,""zh-CN"", ""en"")"),"Must")</f>
        <v>Must</v>
      </c>
      <c r="G756" s="2" t="s">
        <v>4352</v>
      </c>
      <c r="H756" s="3" t="str">
        <f t="shared" si="1"/>
        <v>#NAME?</v>
      </c>
      <c r="I756" s="2" t="s">
        <v>4353</v>
      </c>
    </row>
    <row r="757">
      <c r="A757" s="1">
        <v>756.0</v>
      </c>
      <c r="B757" s="1" t="s">
        <v>4354</v>
      </c>
      <c r="C757" s="1" t="s">
        <v>4355</v>
      </c>
      <c r="D757" s="1" t="s">
        <v>4355</v>
      </c>
      <c r="E757" s="14" t="str">
        <f t="shared" si="2"/>
        <v>#NAME?</v>
      </c>
      <c r="F757" s="15" t="str">
        <f>IFERROR(__xludf.DUMMYFUNCTION("GOOGLETRANSLATE(D757,""zh-CN"", ""en"")"),"Why not")</f>
        <v>Why not</v>
      </c>
      <c r="G757" s="2" t="s">
        <v>4356</v>
      </c>
      <c r="H757" s="3" t="str">
        <f t="shared" si="1"/>
        <v>#NAME?</v>
      </c>
      <c r="I757" s="2" t="s">
        <v>4357</v>
      </c>
    </row>
    <row r="758">
      <c r="A758" s="1">
        <v>757.0</v>
      </c>
      <c r="B758" s="1" t="s">
        <v>4354</v>
      </c>
      <c r="C758" s="1" t="s">
        <v>4355</v>
      </c>
      <c r="D758" s="1" t="s">
        <v>4355</v>
      </c>
      <c r="E758" s="14" t="str">
        <f t="shared" si="2"/>
        <v>#NAME?</v>
      </c>
      <c r="F758" s="15" t="str">
        <f>IFERROR(__xludf.DUMMYFUNCTION("GOOGLETRANSLATE(D758,""zh-CN"", ""en"")"),"Why not")</f>
        <v>Why not</v>
      </c>
      <c r="G758" s="2" t="s">
        <v>4358</v>
      </c>
      <c r="H758" s="3" t="str">
        <f t="shared" si="1"/>
        <v>#NAME?</v>
      </c>
      <c r="I758" s="2" t="s">
        <v>4359</v>
      </c>
    </row>
    <row r="759">
      <c r="A759" s="1">
        <v>758.0</v>
      </c>
      <c r="B759" s="1" t="s">
        <v>4360</v>
      </c>
      <c r="C759" s="1" t="s">
        <v>2685</v>
      </c>
      <c r="D759" s="1" t="s">
        <v>2685</v>
      </c>
      <c r="E759" s="14" t="str">
        <f t="shared" si="2"/>
        <v>#NAME?</v>
      </c>
      <c r="F759" s="15" t="str">
        <f>IFERROR(__xludf.DUMMYFUNCTION("GOOGLETRANSLATE(D759,""zh-CN"", ""en"")"),"Why bother?")</f>
        <v>Why bother?</v>
      </c>
      <c r="G759" s="2" t="s">
        <v>4361</v>
      </c>
      <c r="H759" s="3" t="str">
        <f t="shared" si="1"/>
        <v>#NAME?</v>
      </c>
      <c r="I759" s="2" t="s">
        <v>4362</v>
      </c>
    </row>
    <row r="760">
      <c r="A760" s="1">
        <v>759.0</v>
      </c>
      <c r="B760" s="1" t="s">
        <v>4360</v>
      </c>
      <c r="C760" s="1" t="s">
        <v>2685</v>
      </c>
      <c r="D760" s="1" t="s">
        <v>2685</v>
      </c>
      <c r="E760" s="14" t="str">
        <f t="shared" si="2"/>
        <v>#NAME?</v>
      </c>
      <c r="F760" s="15" t="str">
        <f>IFERROR(__xludf.DUMMYFUNCTION("GOOGLETRANSLATE(D760,""zh-CN"", ""en"")"),"Why bother?")</f>
        <v>Why bother?</v>
      </c>
      <c r="G760" s="2" t="s">
        <v>4363</v>
      </c>
      <c r="H760" s="3" t="str">
        <f t="shared" si="1"/>
        <v>#NAME?</v>
      </c>
      <c r="I760" s="2" t="s">
        <v>4364</v>
      </c>
    </row>
    <row r="761">
      <c r="A761" s="1">
        <v>760.0</v>
      </c>
      <c r="B761" s="1" t="s">
        <v>4365</v>
      </c>
      <c r="C761" s="1" t="s">
        <v>4366</v>
      </c>
      <c r="D761" s="1" t="s">
        <v>4366</v>
      </c>
      <c r="E761" s="14" t="str">
        <f t="shared" si="2"/>
        <v>#NAME?</v>
      </c>
      <c r="F761" s="15" t="str">
        <f>IFERROR(__xludf.DUMMYFUNCTION("GOOGLETRANSLATE(D761,""zh-CN"", ""en"")"),"Could it be")</f>
        <v>Could it be</v>
      </c>
      <c r="G761" s="2" t="s">
        <v>4367</v>
      </c>
      <c r="H761" s="3" t="str">
        <f t="shared" si="1"/>
        <v>#NAME?</v>
      </c>
      <c r="I761" s="2" t="s">
        <v>4368</v>
      </c>
    </row>
    <row r="762">
      <c r="A762" s="1">
        <v>761.0</v>
      </c>
      <c r="B762" s="1" t="s">
        <v>4365</v>
      </c>
      <c r="C762" s="1" t="s">
        <v>4366</v>
      </c>
      <c r="D762" s="1" t="s">
        <v>4366</v>
      </c>
      <c r="E762" s="14" t="str">
        <f t="shared" si="2"/>
        <v>#NAME?</v>
      </c>
      <c r="F762" s="15" t="str">
        <f>IFERROR(__xludf.DUMMYFUNCTION("GOOGLETRANSLATE(D762,""zh-CN"", ""en"")"),"Could it be")</f>
        <v>Could it be</v>
      </c>
      <c r="G762" s="2" t="s">
        <v>4369</v>
      </c>
      <c r="H762" s="3" t="str">
        <f t="shared" si="1"/>
        <v>#NAME?</v>
      </c>
      <c r="I762" s="2" t="s">
        <v>4370</v>
      </c>
    </row>
    <row r="763">
      <c r="A763" s="1">
        <v>762.0</v>
      </c>
      <c r="B763" s="1" t="s">
        <v>4371</v>
      </c>
      <c r="C763" s="1" t="s">
        <v>4372</v>
      </c>
      <c r="D763" s="1" t="s">
        <v>4372</v>
      </c>
      <c r="E763" s="14" t="str">
        <f t="shared" si="2"/>
        <v>#NAME?</v>
      </c>
      <c r="F763" s="15" t="str">
        <f>IFERROR(__xludf.DUMMYFUNCTION("GOOGLETRANSLATE(D763,""zh-CN"", ""en"")"),"in vain")</f>
        <v>in vain</v>
      </c>
      <c r="G763" s="2" t="s">
        <v>4373</v>
      </c>
      <c r="H763" s="3" t="str">
        <f t="shared" si="1"/>
        <v>#NAME?</v>
      </c>
      <c r="I763" s="2" t="s">
        <v>4374</v>
      </c>
    </row>
    <row r="764">
      <c r="A764" s="1">
        <v>763.0</v>
      </c>
      <c r="B764" s="1" t="s">
        <v>4371</v>
      </c>
      <c r="C764" s="1" t="s">
        <v>4372</v>
      </c>
      <c r="D764" s="1" t="s">
        <v>4372</v>
      </c>
      <c r="E764" s="14" t="str">
        <f t="shared" si="2"/>
        <v>#NAME?</v>
      </c>
      <c r="F764" s="15" t="str">
        <f>IFERROR(__xludf.DUMMYFUNCTION("GOOGLETRANSLATE(D764,""zh-CN"", ""en"")"),"in vain")</f>
        <v>in vain</v>
      </c>
      <c r="G764" s="2" t="s">
        <v>4375</v>
      </c>
      <c r="H764" s="3" t="str">
        <f t="shared" si="1"/>
        <v>#NAME?</v>
      </c>
      <c r="I764" s="2" t="s">
        <v>4376</v>
      </c>
    </row>
    <row r="765">
      <c r="A765" s="1">
        <v>764.0</v>
      </c>
      <c r="B765" s="1" t="s">
        <v>4377</v>
      </c>
      <c r="C765" s="1" t="s">
        <v>4378</v>
      </c>
      <c r="D765" s="1" t="s">
        <v>4378</v>
      </c>
      <c r="E765" s="14" t="str">
        <f t="shared" si="2"/>
        <v>#NAME?</v>
      </c>
      <c r="F765" s="15" t="str">
        <f>IFERROR(__xludf.DUMMYFUNCTION("GOOGLETRANSLATE(D765,""zh-CN"", ""en"")"),"On the contrary")</f>
        <v>On the contrary</v>
      </c>
      <c r="G765" s="2" t="s">
        <v>4379</v>
      </c>
      <c r="H765" s="3" t="str">
        <f t="shared" si="1"/>
        <v>#NAME?</v>
      </c>
      <c r="I765" s="2" t="s">
        <v>4380</v>
      </c>
    </row>
    <row r="766">
      <c r="A766" s="1">
        <v>765.0</v>
      </c>
      <c r="B766" s="1" t="s">
        <v>4377</v>
      </c>
      <c r="C766" s="1" t="s">
        <v>4378</v>
      </c>
      <c r="D766" s="1" t="s">
        <v>4378</v>
      </c>
      <c r="E766" s="14" t="str">
        <f t="shared" si="2"/>
        <v>#NAME?</v>
      </c>
      <c r="F766" s="15" t="str">
        <f>IFERROR(__xludf.DUMMYFUNCTION("GOOGLETRANSLATE(D766,""zh-CN"", ""en"")"),"On the contrary")</f>
        <v>On the contrary</v>
      </c>
      <c r="G766" s="2" t="s">
        <v>4381</v>
      </c>
      <c r="H766" s="3" t="str">
        <f t="shared" si="1"/>
        <v>#NAME?</v>
      </c>
      <c r="I766" s="2" t="s">
        <v>4382</v>
      </c>
    </row>
    <row r="767">
      <c r="A767" s="1">
        <v>766.0</v>
      </c>
      <c r="B767" s="1" t="s">
        <v>4383</v>
      </c>
      <c r="C767" s="1" t="s">
        <v>4384</v>
      </c>
      <c r="D767" s="1" t="s">
        <v>4384</v>
      </c>
      <c r="E767" s="14" t="str">
        <f t="shared" si="2"/>
        <v>#NAME?</v>
      </c>
      <c r="F767" s="15" t="str">
        <f>IFERROR(__xludf.DUMMYFUNCTION("GOOGLETRANSLATE(D767,""zh-CN"", ""en"")"),"distinct")</f>
        <v>distinct</v>
      </c>
      <c r="G767" s="2" t="s">
        <v>4385</v>
      </c>
      <c r="H767" s="3" t="str">
        <f t="shared" si="1"/>
        <v>#NAME?</v>
      </c>
      <c r="I767" s="2" t="s">
        <v>4386</v>
      </c>
    </row>
    <row r="768">
      <c r="A768" s="1">
        <v>767.0</v>
      </c>
      <c r="B768" s="1" t="s">
        <v>4383</v>
      </c>
      <c r="C768" s="1" t="s">
        <v>4384</v>
      </c>
      <c r="D768" s="1" t="s">
        <v>4384</v>
      </c>
      <c r="E768" s="14" t="str">
        <f t="shared" si="2"/>
        <v>#NAME?</v>
      </c>
      <c r="F768" s="15" t="str">
        <f>IFERROR(__xludf.DUMMYFUNCTION("GOOGLETRANSLATE(D768,""zh-CN"", ""en"")"),"distinct")</f>
        <v>distinct</v>
      </c>
      <c r="G768" s="2" t="s">
        <v>4387</v>
      </c>
      <c r="H768" s="3" t="str">
        <f t="shared" si="1"/>
        <v>#NAME?</v>
      </c>
      <c r="I768" s="2" t="s">
        <v>4388</v>
      </c>
    </row>
    <row r="769">
      <c r="A769" s="1">
        <v>768.0</v>
      </c>
      <c r="B769" s="1" t="s">
        <v>4389</v>
      </c>
      <c r="C769" s="1" t="s">
        <v>4390</v>
      </c>
      <c r="D769" s="1" t="s">
        <v>4390</v>
      </c>
      <c r="E769" s="14" t="str">
        <f t="shared" si="2"/>
        <v>#NAME?</v>
      </c>
      <c r="F769" s="15" t="str">
        <f>IFERROR(__xludf.DUMMYFUNCTION("GOOGLETRANSLATE(D769,""zh-CN"", ""en"")"),"No wonder")</f>
        <v>No wonder</v>
      </c>
      <c r="G769" s="2" t="s">
        <v>4391</v>
      </c>
      <c r="H769" s="3" t="str">
        <f t="shared" si="1"/>
        <v>#NAME?</v>
      </c>
      <c r="I769" s="2" t="s">
        <v>4392</v>
      </c>
    </row>
    <row r="770">
      <c r="A770" s="1">
        <v>769.0</v>
      </c>
      <c r="B770" s="1" t="s">
        <v>4389</v>
      </c>
      <c r="C770" s="1" t="s">
        <v>4390</v>
      </c>
      <c r="D770" s="1" t="s">
        <v>4390</v>
      </c>
      <c r="E770" s="14" t="str">
        <f t="shared" si="2"/>
        <v>#NAME?</v>
      </c>
      <c r="F770" s="15" t="str">
        <f>IFERROR(__xludf.DUMMYFUNCTION("GOOGLETRANSLATE(D770,""zh-CN"", ""en"")"),"No wonder")</f>
        <v>No wonder</v>
      </c>
      <c r="G770" s="2" t="s">
        <v>4393</v>
      </c>
      <c r="H770" s="3" t="str">
        <f t="shared" si="1"/>
        <v>#NAME?</v>
      </c>
      <c r="I770" s="2" t="s">
        <v>4394</v>
      </c>
    </row>
    <row r="771">
      <c r="A771" s="1">
        <v>770.0</v>
      </c>
      <c r="B771" s="1" t="s">
        <v>4395</v>
      </c>
      <c r="C771" s="1" t="s">
        <v>4396</v>
      </c>
      <c r="D771" s="1" t="s">
        <v>4396</v>
      </c>
      <c r="E771" s="14" t="str">
        <f t="shared" si="2"/>
        <v>#NAME?</v>
      </c>
      <c r="F771" s="15" t="str">
        <f>IFERROR(__xludf.DUMMYFUNCTION("GOOGLETRANSLATE(D771,""zh-CN"", ""en"")"),"Fortunately")</f>
        <v>Fortunately</v>
      </c>
      <c r="G771" s="2" t="s">
        <v>4397</v>
      </c>
      <c r="H771" s="3" t="str">
        <f t="shared" si="1"/>
        <v>#NAME?</v>
      </c>
      <c r="I771" s="2" t="s">
        <v>4398</v>
      </c>
    </row>
    <row r="772">
      <c r="A772" s="1">
        <v>771.0</v>
      </c>
      <c r="B772" s="1" t="s">
        <v>4395</v>
      </c>
      <c r="C772" s="1" t="s">
        <v>4396</v>
      </c>
      <c r="D772" s="1" t="s">
        <v>4396</v>
      </c>
      <c r="E772" s="14" t="str">
        <f t="shared" si="2"/>
        <v>#NAME?</v>
      </c>
      <c r="F772" s="15" t="str">
        <f>IFERROR(__xludf.DUMMYFUNCTION("GOOGLETRANSLATE(D772,""zh-CN"", ""en"")"),"Fortunately")</f>
        <v>Fortunately</v>
      </c>
      <c r="G772" s="2" t="s">
        <v>4399</v>
      </c>
      <c r="H772" s="3" t="str">
        <f t="shared" si="1"/>
        <v>#NAME?</v>
      </c>
      <c r="I772" s="2" t="s">
        <v>4400</v>
      </c>
    </row>
    <row r="773">
      <c r="A773" s="1">
        <v>772.0</v>
      </c>
      <c r="B773" s="1" t="s">
        <v>4401</v>
      </c>
      <c r="C773" s="1" t="s">
        <v>4402</v>
      </c>
      <c r="D773" s="1" t="s">
        <v>4402</v>
      </c>
      <c r="E773" s="14" t="str">
        <f t="shared" si="2"/>
        <v>#NAME?</v>
      </c>
      <c r="F773" s="15" t="str">
        <f>IFERROR(__xludf.DUMMYFUNCTION("GOOGLETRANSLATE(D773,""zh-CN"", ""en"")"),"So")</f>
        <v>So</v>
      </c>
      <c r="G773" s="2" t="s">
        <v>4403</v>
      </c>
      <c r="H773" s="3" t="str">
        <f t="shared" si="1"/>
        <v>#NAME?</v>
      </c>
      <c r="I773" s="2" t="s">
        <v>4404</v>
      </c>
    </row>
    <row r="774">
      <c r="A774" s="1">
        <v>773.0</v>
      </c>
      <c r="B774" s="1" t="s">
        <v>4401</v>
      </c>
      <c r="C774" s="1" t="s">
        <v>4402</v>
      </c>
      <c r="D774" s="1" t="s">
        <v>4402</v>
      </c>
      <c r="E774" s="14" t="str">
        <f t="shared" si="2"/>
        <v>#NAME?</v>
      </c>
      <c r="F774" s="15" t="str">
        <f>IFERROR(__xludf.DUMMYFUNCTION("GOOGLETRANSLATE(D774,""zh-CN"", ""en"")"),"So")</f>
        <v>So</v>
      </c>
      <c r="G774" s="2" t="s">
        <v>4405</v>
      </c>
      <c r="H774" s="3" t="str">
        <f t="shared" si="1"/>
        <v>#NAME?</v>
      </c>
      <c r="I774" s="2" t="s">
        <v>4406</v>
      </c>
    </row>
    <row r="775">
      <c r="A775" s="1">
        <v>774.0</v>
      </c>
      <c r="B775" s="1" t="s">
        <v>4407</v>
      </c>
      <c r="C775" s="1" t="s">
        <v>4408</v>
      </c>
      <c r="D775" s="1" t="s">
        <v>4408</v>
      </c>
      <c r="E775" s="14" t="str">
        <f t="shared" si="2"/>
        <v>#NAME?</v>
      </c>
      <c r="F775" s="15" t="str">
        <f>IFERROR(__xludf.DUMMYFUNCTION("GOOGLETRANSLATE(D775,""zh-CN"", ""en"")"),"No wonder")</f>
        <v>No wonder</v>
      </c>
      <c r="G775" s="2" t="s">
        <v>4409</v>
      </c>
      <c r="H775" s="3" t="str">
        <f t="shared" si="1"/>
        <v>#NAME?</v>
      </c>
      <c r="I775" s="2" t="s">
        <v>4410</v>
      </c>
    </row>
    <row r="776">
      <c r="A776" s="1">
        <v>775.0</v>
      </c>
      <c r="B776" s="1" t="s">
        <v>4407</v>
      </c>
      <c r="C776" s="1" t="s">
        <v>4408</v>
      </c>
      <c r="D776" s="1" t="s">
        <v>4408</v>
      </c>
      <c r="E776" s="14" t="str">
        <f t="shared" si="2"/>
        <v>#NAME?</v>
      </c>
      <c r="F776" s="15" t="str">
        <f>IFERROR(__xludf.DUMMYFUNCTION("GOOGLETRANSLATE(D776,""zh-CN"", ""en"")"),"No wonder")</f>
        <v>No wonder</v>
      </c>
      <c r="G776" s="2" t="s">
        <v>4411</v>
      </c>
      <c r="H776" s="3" t="str">
        <f t="shared" si="1"/>
        <v>#NAME?</v>
      </c>
      <c r="I776" s="2" t="s">
        <v>4412</v>
      </c>
    </row>
    <row r="777">
      <c r="A777" s="1">
        <v>776.0</v>
      </c>
      <c r="B777" s="1" t="s">
        <v>4413</v>
      </c>
      <c r="C777" s="1" t="s">
        <v>4414</v>
      </c>
      <c r="D777" s="1" t="s">
        <v>4414</v>
      </c>
      <c r="E777" s="14" t="str">
        <f t="shared" si="2"/>
        <v>#NAME?</v>
      </c>
      <c r="F777" s="15" t="str">
        <f>IFERROR(__xludf.DUMMYFUNCTION("GOOGLETRANSLATE(D777,""zh-CN"", ""en"")"),"But")</f>
        <v>But</v>
      </c>
      <c r="G777" s="2" t="s">
        <v>4415</v>
      </c>
      <c r="H777" s="3" t="str">
        <f t="shared" si="1"/>
        <v>#NAME?</v>
      </c>
      <c r="I777" s="2" t="s">
        <v>4416</v>
      </c>
    </row>
    <row r="778">
      <c r="A778" s="1">
        <v>777.0</v>
      </c>
      <c r="B778" s="1" t="s">
        <v>4413</v>
      </c>
      <c r="C778" s="1" t="s">
        <v>4414</v>
      </c>
      <c r="D778" s="1" t="s">
        <v>4414</v>
      </c>
      <c r="E778" s="14" t="str">
        <f t="shared" si="2"/>
        <v>#NAME?</v>
      </c>
      <c r="F778" s="15" t="str">
        <f>IFERROR(__xludf.DUMMYFUNCTION("GOOGLETRANSLATE(D778,""zh-CN"", ""en"")"),"But")</f>
        <v>But</v>
      </c>
      <c r="G778" s="2" t="s">
        <v>4417</v>
      </c>
      <c r="H778" s="3" t="str">
        <f t="shared" si="1"/>
        <v>#NAME?</v>
      </c>
      <c r="I778" s="2" t="s">
        <v>4418</v>
      </c>
    </row>
    <row r="779">
      <c r="A779" s="1">
        <v>778.0</v>
      </c>
      <c r="B779" s="1" t="s">
        <v>4419</v>
      </c>
      <c r="C779" s="1" t="s">
        <v>4420</v>
      </c>
      <c r="D779" s="1" t="s">
        <v>4420</v>
      </c>
      <c r="E779" s="14" t="str">
        <f t="shared" si="2"/>
        <v>#NAME?</v>
      </c>
      <c r="F779" s="15" t="str">
        <f>IFERROR(__xludf.DUMMYFUNCTION("GOOGLETRANSLATE(D779,""zh-CN"", ""en"")"),"So be it")</f>
        <v>So be it</v>
      </c>
      <c r="G779" s="2" t="s">
        <v>4421</v>
      </c>
      <c r="H779" s="3" t="str">
        <f t="shared" si="1"/>
        <v>#NAME?</v>
      </c>
      <c r="I779" s="2" t="s">
        <v>4422</v>
      </c>
    </row>
    <row r="780">
      <c r="A780" s="1">
        <v>779.0</v>
      </c>
      <c r="B780" s="1" t="s">
        <v>4419</v>
      </c>
      <c r="C780" s="1" t="s">
        <v>4420</v>
      </c>
      <c r="D780" s="1" t="s">
        <v>4420</v>
      </c>
      <c r="E780" s="14" t="str">
        <f t="shared" si="2"/>
        <v>#NAME?</v>
      </c>
      <c r="F780" s="15" t="str">
        <f>IFERROR(__xludf.DUMMYFUNCTION("GOOGLETRANSLATE(D780,""zh-CN"", ""en"")"),"So be it")</f>
        <v>So be it</v>
      </c>
      <c r="G780" s="2" t="s">
        <v>4423</v>
      </c>
      <c r="H780" s="3" t="str">
        <f t="shared" si="1"/>
        <v>#NAME?</v>
      </c>
      <c r="I780" s="2" t="s">
        <v>4424</v>
      </c>
    </row>
    <row r="781">
      <c r="A781" s="1">
        <v>780.0</v>
      </c>
      <c r="B781" s="1" t="s">
        <v>4425</v>
      </c>
      <c r="C781" s="1" t="s">
        <v>4426</v>
      </c>
      <c r="D781" s="1" t="s">
        <v>4426</v>
      </c>
      <c r="E781" s="14" t="str">
        <f t="shared" si="2"/>
        <v>#NAME?</v>
      </c>
      <c r="F781" s="15" t="str">
        <f>IFERROR(__xludf.DUMMYFUNCTION("GOOGLETRANSLATE(D781,""zh-CN"", ""en"")"),"absolutely")</f>
        <v>absolutely</v>
      </c>
      <c r="G781" s="2" t="s">
        <v>4427</v>
      </c>
      <c r="H781" s="3" t="str">
        <f t="shared" si="1"/>
        <v>#NAME?</v>
      </c>
      <c r="I781" s="2" t="s">
        <v>4428</v>
      </c>
    </row>
    <row r="782">
      <c r="A782" s="1">
        <v>781.0</v>
      </c>
      <c r="B782" s="1" t="s">
        <v>4425</v>
      </c>
      <c r="C782" s="1" t="s">
        <v>4426</v>
      </c>
      <c r="D782" s="1" t="s">
        <v>4426</v>
      </c>
      <c r="E782" s="14" t="str">
        <f t="shared" si="2"/>
        <v>#NAME?</v>
      </c>
      <c r="F782" s="15" t="str">
        <f>IFERROR(__xludf.DUMMYFUNCTION("GOOGLETRANSLATE(D782,""zh-CN"", ""en"")"),"absolutely")</f>
        <v>absolutely</v>
      </c>
      <c r="G782" s="2" t="s">
        <v>4429</v>
      </c>
      <c r="H782" s="3" t="str">
        <f t="shared" si="1"/>
        <v>#NAME?</v>
      </c>
      <c r="I782" s="2" t="s">
        <v>4430</v>
      </c>
    </row>
    <row r="783">
      <c r="A783" s="1">
        <v>782.0</v>
      </c>
      <c r="B783" s="1" t="s">
        <v>4431</v>
      </c>
      <c r="C783" s="1" t="s">
        <v>4432</v>
      </c>
      <c r="D783" s="1" t="s">
        <v>4432</v>
      </c>
      <c r="E783" s="14" t="str">
        <f t="shared" si="2"/>
        <v>#NAME?</v>
      </c>
      <c r="F783" s="15" t="str">
        <f>IFERROR(__xludf.DUMMYFUNCTION("GOOGLETRANSLATE(D783,""zh-CN"", ""en"")"),"Unavoidable")</f>
        <v>Unavoidable</v>
      </c>
      <c r="G783" s="2" t="s">
        <v>4433</v>
      </c>
      <c r="H783" s="3" t="str">
        <f t="shared" si="1"/>
        <v>#NAME?</v>
      </c>
      <c r="I783" s="2" t="s">
        <v>4434</v>
      </c>
    </row>
    <row r="784">
      <c r="A784" s="1">
        <v>783.0</v>
      </c>
      <c r="B784" s="1" t="s">
        <v>4431</v>
      </c>
      <c r="C784" s="1" t="s">
        <v>4432</v>
      </c>
      <c r="D784" s="1" t="s">
        <v>4432</v>
      </c>
      <c r="E784" s="14" t="str">
        <f t="shared" si="2"/>
        <v>#NAME?</v>
      </c>
      <c r="F784" s="15" t="str">
        <f>IFERROR(__xludf.DUMMYFUNCTION("GOOGLETRANSLATE(D784,""zh-CN"", ""en"")"),"Unavoidable")</f>
        <v>Unavoidable</v>
      </c>
      <c r="G784" s="2" t="s">
        <v>4435</v>
      </c>
      <c r="H784" s="3" t="str">
        <f t="shared" si="1"/>
        <v>#NAME?</v>
      </c>
      <c r="I784" s="2" t="s">
        <v>4436</v>
      </c>
    </row>
    <row r="785">
      <c r="A785" s="1">
        <v>784.0</v>
      </c>
      <c r="B785" s="1" t="s">
        <v>4437</v>
      </c>
      <c r="C785" s="1" t="s">
        <v>3533</v>
      </c>
      <c r="D785" s="1" t="s">
        <v>3533</v>
      </c>
      <c r="E785" s="14" t="str">
        <f t="shared" si="2"/>
        <v>#NAME?</v>
      </c>
      <c r="F785" s="15" t="str">
        <f>IFERROR(__xludf.DUMMYFUNCTION("GOOGLETRANSLATE(D785,""zh-CN"", ""en"")"),"Nothing more than")</f>
        <v>Nothing more than</v>
      </c>
      <c r="G785" s="2" t="s">
        <v>4438</v>
      </c>
      <c r="H785" s="3" t="str">
        <f t="shared" si="1"/>
        <v>#NAME?</v>
      </c>
      <c r="I785" s="2" t="s">
        <v>4439</v>
      </c>
    </row>
    <row r="786">
      <c r="A786" s="1">
        <v>785.0</v>
      </c>
      <c r="B786" s="1" t="s">
        <v>4437</v>
      </c>
      <c r="C786" s="1" t="s">
        <v>3533</v>
      </c>
      <c r="D786" s="1" t="s">
        <v>3533</v>
      </c>
      <c r="E786" s="14" t="str">
        <f t="shared" si="2"/>
        <v>#NAME?</v>
      </c>
      <c r="F786" s="15" t="str">
        <f>IFERROR(__xludf.DUMMYFUNCTION("GOOGLETRANSLATE(D786,""zh-CN"", ""en"")"),"Nothing more than")</f>
        <v>Nothing more than</v>
      </c>
      <c r="G786" s="2" t="s">
        <v>4440</v>
      </c>
      <c r="H786" s="3" t="str">
        <f t="shared" si="1"/>
        <v>#NAME?</v>
      </c>
      <c r="I786" s="2" t="s">
        <v>4441</v>
      </c>
    </row>
    <row r="787">
      <c r="A787" s="1">
        <v>786.0</v>
      </c>
      <c r="B787" s="1" t="s">
        <v>4442</v>
      </c>
      <c r="C787" s="1" t="s">
        <v>4443</v>
      </c>
      <c r="D787" s="1" t="s">
        <v>4443</v>
      </c>
      <c r="E787" s="14" t="str">
        <f t="shared" si="2"/>
        <v>#NAME?</v>
      </c>
      <c r="F787" s="15" t="str">
        <f>IFERROR(__xludf.DUMMYFUNCTION("GOOGLETRANSLATE(D787,""zh-CN"", ""en"")"),"fortunately")</f>
        <v>fortunately</v>
      </c>
      <c r="G787" s="2" t="s">
        <v>4444</v>
      </c>
      <c r="H787" s="3" t="str">
        <f t="shared" si="1"/>
        <v>#NAME?</v>
      </c>
      <c r="I787" s="2" t="s">
        <v>4445</v>
      </c>
    </row>
    <row r="788">
      <c r="A788" s="1">
        <v>787.0</v>
      </c>
      <c r="B788" s="1" t="s">
        <v>4442</v>
      </c>
      <c r="C788" s="1" t="s">
        <v>4443</v>
      </c>
      <c r="D788" s="1" t="s">
        <v>4443</v>
      </c>
      <c r="E788" s="14" t="str">
        <f t="shared" si="2"/>
        <v>#NAME?</v>
      </c>
      <c r="F788" s="15" t="str">
        <f>IFERROR(__xludf.DUMMYFUNCTION("GOOGLETRANSLATE(D788,""zh-CN"", ""en"")"),"fortunately")</f>
        <v>fortunately</v>
      </c>
      <c r="G788" s="2" t="s">
        <v>4446</v>
      </c>
      <c r="H788" s="3" t="str">
        <f t="shared" si="1"/>
        <v>#NAME?</v>
      </c>
      <c r="I788" s="2" t="s">
        <v>4447</v>
      </c>
    </row>
    <row r="789">
      <c r="A789" s="1">
        <v>788.0</v>
      </c>
      <c r="B789" s="1" t="s">
        <v>4448</v>
      </c>
      <c r="C789" s="1" t="s">
        <v>4449</v>
      </c>
      <c r="D789" s="1" t="s">
        <v>4449</v>
      </c>
      <c r="E789" s="14" t="str">
        <f t="shared" si="2"/>
        <v>#NAME?</v>
      </c>
      <c r="F789" s="15" t="str">
        <f>IFERROR(__xludf.DUMMYFUNCTION("GOOGLETRANSLATE(D789,""zh-CN"", ""en"")"),"Fortunately")</f>
        <v>Fortunately</v>
      </c>
      <c r="G789" s="2" t="s">
        <v>4450</v>
      </c>
      <c r="H789" s="3" t="str">
        <f t="shared" si="1"/>
        <v>#NAME?</v>
      </c>
      <c r="I789" s="2" t="s">
        <v>4451</v>
      </c>
    </row>
    <row r="790">
      <c r="A790" s="1">
        <v>789.0</v>
      </c>
      <c r="B790" s="1" t="s">
        <v>4448</v>
      </c>
      <c r="C790" s="1" t="s">
        <v>4449</v>
      </c>
      <c r="D790" s="1" t="s">
        <v>4449</v>
      </c>
      <c r="E790" s="14" t="str">
        <f t="shared" si="2"/>
        <v>#NAME?</v>
      </c>
      <c r="F790" s="15" t="str">
        <f>IFERROR(__xludf.DUMMYFUNCTION("GOOGLETRANSLATE(D790,""zh-CN"", ""en"")"),"Fortunately")</f>
        <v>Fortunately</v>
      </c>
      <c r="G790" s="2" t="s">
        <v>4452</v>
      </c>
      <c r="H790" s="3" t="str">
        <f t="shared" si="1"/>
        <v>#NAME?</v>
      </c>
      <c r="I790" s="2" t="s">
        <v>4453</v>
      </c>
    </row>
    <row r="791">
      <c r="A791" s="1">
        <v>790.0</v>
      </c>
      <c r="B791" s="1" t="s">
        <v>4454</v>
      </c>
      <c r="C791" s="1" t="s">
        <v>4078</v>
      </c>
      <c r="D791" s="1" t="s">
        <v>4078</v>
      </c>
      <c r="E791" s="14" t="str">
        <f t="shared" si="2"/>
        <v>#NAME?</v>
      </c>
      <c r="F791" s="15" t="str">
        <f>IFERROR(__xludf.DUMMYFUNCTION("GOOGLETRANSLATE(D791,""zh-CN"", ""en"")"),"after all")</f>
        <v>after all</v>
      </c>
      <c r="G791" s="2" t="s">
        <v>4455</v>
      </c>
      <c r="H791" s="3" t="str">
        <f t="shared" si="1"/>
        <v>#NAME?</v>
      </c>
      <c r="I791" s="2" t="s">
        <v>4456</v>
      </c>
    </row>
    <row r="792">
      <c r="A792" s="1">
        <v>791.0</v>
      </c>
      <c r="B792" s="1" t="s">
        <v>4454</v>
      </c>
      <c r="C792" s="1" t="s">
        <v>4078</v>
      </c>
      <c r="D792" s="1" t="s">
        <v>4078</v>
      </c>
      <c r="E792" s="14" t="str">
        <f t="shared" si="2"/>
        <v>#NAME?</v>
      </c>
      <c r="F792" s="15" t="str">
        <f>IFERROR(__xludf.DUMMYFUNCTION("GOOGLETRANSLATE(D792,""zh-CN"", ""en"")"),"after all")</f>
        <v>after all</v>
      </c>
      <c r="G792" s="2" t="s">
        <v>4457</v>
      </c>
      <c r="H792" s="3" t="str">
        <f t="shared" si="1"/>
        <v>#NAME?</v>
      </c>
      <c r="I792" s="2" t="s">
        <v>4458</v>
      </c>
    </row>
    <row r="793">
      <c r="A793" s="1">
        <v>792.0</v>
      </c>
      <c r="B793" s="1" t="s">
        <v>4459</v>
      </c>
      <c r="C793" s="1" t="s">
        <v>4460</v>
      </c>
      <c r="D793" s="1" t="s">
        <v>4460</v>
      </c>
      <c r="E793" s="14" t="str">
        <f t="shared" si="2"/>
        <v>#NAME?</v>
      </c>
      <c r="F793" s="15" t="str">
        <f>IFERROR(__xludf.DUMMYFUNCTION("GOOGLETRANSLATE(D793,""zh-CN"", ""en"")"),"Following")</f>
        <v>Following</v>
      </c>
      <c r="G793" s="2" t="s">
        <v>4461</v>
      </c>
      <c r="H793" s="3" t="str">
        <f t="shared" si="1"/>
        <v>#NAME?</v>
      </c>
      <c r="I793" s="2" t="s">
        <v>4462</v>
      </c>
    </row>
    <row r="794">
      <c r="A794" s="1">
        <v>793.0</v>
      </c>
      <c r="B794" s="1" t="s">
        <v>4459</v>
      </c>
      <c r="C794" s="1" t="s">
        <v>4460</v>
      </c>
      <c r="D794" s="1" t="s">
        <v>4460</v>
      </c>
      <c r="E794" s="14" t="str">
        <f t="shared" si="2"/>
        <v>#NAME?</v>
      </c>
      <c r="F794" s="15" t="str">
        <f>IFERROR(__xludf.DUMMYFUNCTION("GOOGLETRANSLATE(D794,""zh-CN"", ""en"")"),"Following")</f>
        <v>Following</v>
      </c>
      <c r="G794" s="2" t="s">
        <v>4463</v>
      </c>
      <c r="H794" s="3" t="str">
        <f t="shared" si="1"/>
        <v>#NAME?</v>
      </c>
      <c r="I794" s="2" t="s">
        <v>4464</v>
      </c>
    </row>
    <row r="795">
      <c r="A795" s="1">
        <v>794.0</v>
      </c>
      <c r="B795" s="1" t="s">
        <v>4465</v>
      </c>
      <c r="C795" s="1" t="s">
        <v>4466</v>
      </c>
      <c r="D795" s="1" t="s">
        <v>4466</v>
      </c>
      <c r="E795" s="14" t="str">
        <f t="shared" si="2"/>
        <v>#NAME?</v>
      </c>
      <c r="F795" s="15" t="str">
        <f>IFERROR(__xludf.DUMMYFUNCTION("GOOGLETRANSLATE(D795,""zh-CN"", ""en"")"),"When")</f>
        <v>When</v>
      </c>
      <c r="G795" s="2" t="s">
        <v>4467</v>
      </c>
      <c r="H795" s="3" t="str">
        <f t="shared" si="1"/>
        <v>#NAME?</v>
      </c>
      <c r="I795" s="2" t="s">
        <v>4468</v>
      </c>
    </row>
    <row r="796">
      <c r="A796" s="1">
        <v>795.0</v>
      </c>
      <c r="B796" s="1" t="s">
        <v>4465</v>
      </c>
      <c r="C796" s="1" t="s">
        <v>4466</v>
      </c>
      <c r="D796" s="1" t="s">
        <v>4466</v>
      </c>
      <c r="E796" s="14" t="str">
        <f t="shared" si="2"/>
        <v>#NAME?</v>
      </c>
      <c r="F796" s="15" t="str">
        <f>IFERROR(__xludf.DUMMYFUNCTION("GOOGLETRANSLATE(D796,""zh-CN"", ""en"")"),"When")</f>
        <v>When</v>
      </c>
      <c r="G796" s="2" t="s">
        <v>4469</v>
      </c>
      <c r="H796" s="3" t="str">
        <f t="shared" si="1"/>
        <v>#NAME?</v>
      </c>
      <c r="I796" s="2" t="s">
        <v>4470</v>
      </c>
    </row>
    <row r="797">
      <c r="A797" s="1">
        <v>796.0</v>
      </c>
      <c r="B797" s="1" t="s">
        <v>4471</v>
      </c>
      <c r="C797" s="1" t="s">
        <v>487</v>
      </c>
      <c r="D797" s="1" t="s">
        <v>4472</v>
      </c>
      <c r="E797" s="14" t="str">
        <f t="shared" si="2"/>
        <v>#NAME?</v>
      </c>
      <c r="F797" s="15" t="str">
        <f>IFERROR(__xludf.DUMMYFUNCTION("GOOGLETRANSLATE(D797,""zh-CN"", ""en"")"),"On this issue")</f>
        <v>On this issue</v>
      </c>
      <c r="G797" s="2" t="s">
        <v>4473</v>
      </c>
      <c r="H797" s="3" t="str">
        <f t="shared" si="1"/>
        <v>#NAME?</v>
      </c>
      <c r="I797" s="2" t="s">
        <v>4474</v>
      </c>
    </row>
    <row r="798">
      <c r="A798" s="1">
        <v>797.0</v>
      </c>
      <c r="B798" s="1" t="s">
        <v>4471</v>
      </c>
      <c r="C798" s="1" t="s">
        <v>487</v>
      </c>
      <c r="D798" s="1" t="s">
        <v>4475</v>
      </c>
      <c r="E798" s="14" t="str">
        <f t="shared" si="2"/>
        <v>#NAME?</v>
      </c>
      <c r="F798" s="15" t="str">
        <f>IFERROR(__xludf.DUMMYFUNCTION("GOOGLETRANSLATE(D798,""zh-CN"", ""en"")"),"So far")</f>
        <v>So far</v>
      </c>
      <c r="G798" s="2" t="s">
        <v>4476</v>
      </c>
      <c r="H798" s="3" t="str">
        <f t="shared" si="1"/>
        <v>#NAME?</v>
      </c>
      <c r="I798" s="2" t="s">
        <v>4477</v>
      </c>
    </row>
    <row r="799">
      <c r="A799" s="1">
        <v>798.0</v>
      </c>
      <c r="B799" s="1" t="s">
        <v>4478</v>
      </c>
      <c r="C799" s="1" t="s">
        <v>2852</v>
      </c>
      <c r="D799" s="1" t="s">
        <v>2852</v>
      </c>
      <c r="E799" s="14" t="str">
        <f t="shared" si="2"/>
        <v>#NAME?</v>
      </c>
      <c r="F799" s="15" t="str">
        <f>IFERROR(__xludf.DUMMYFUNCTION("GOOGLETRANSLATE(D799,""zh-CN"", ""en"")"),"take advantage of")</f>
        <v>take advantage of</v>
      </c>
      <c r="G799" s="2" t="s">
        <v>4479</v>
      </c>
      <c r="H799" s="3" t="str">
        <f t="shared" si="1"/>
        <v>#NAME?</v>
      </c>
      <c r="I799" s="2" t="s">
        <v>4480</v>
      </c>
    </row>
    <row r="800">
      <c r="A800" s="1">
        <v>799.0</v>
      </c>
      <c r="B800" s="1" t="s">
        <v>4478</v>
      </c>
      <c r="C800" s="1" t="s">
        <v>2852</v>
      </c>
      <c r="D800" s="1" t="s">
        <v>2852</v>
      </c>
      <c r="E800" s="14" t="str">
        <f t="shared" si="2"/>
        <v>#NAME?</v>
      </c>
      <c r="F800" s="15" t="str">
        <f>IFERROR(__xludf.DUMMYFUNCTION("GOOGLETRANSLATE(D800,""zh-CN"", ""en"")"),"take advantage of")</f>
        <v>take advantage of</v>
      </c>
      <c r="G800" s="2" t="s">
        <v>4481</v>
      </c>
      <c r="H800" s="3" t="str">
        <f t="shared" si="1"/>
        <v>#NAME?</v>
      </c>
      <c r="I800" s="2" t="s">
        <v>4482</v>
      </c>
    </row>
    <row r="801">
      <c r="A801" s="1">
        <v>800.0</v>
      </c>
      <c r="B801" s="1" t="s">
        <v>4483</v>
      </c>
      <c r="C801" s="1" t="s">
        <v>4484</v>
      </c>
      <c r="D801" s="1" t="s">
        <v>4484</v>
      </c>
      <c r="E801" s="14" t="str">
        <f t="shared" si="2"/>
        <v>#NAME?</v>
      </c>
      <c r="F801" s="15" t="str">
        <f>IFERROR(__xludf.DUMMYFUNCTION("GOOGLETRANSLATE(D801,""zh-CN"", ""en"")"),"based on")</f>
        <v>based on</v>
      </c>
      <c r="G801" s="2" t="s">
        <v>4485</v>
      </c>
      <c r="H801" s="3" t="str">
        <f t="shared" si="1"/>
        <v>#NAME?</v>
      </c>
      <c r="I801" s="2" t="s">
        <v>4486</v>
      </c>
    </row>
    <row r="802">
      <c r="A802" s="1">
        <v>801.0</v>
      </c>
      <c r="B802" s="1" t="s">
        <v>4483</v>
      </c>
      <c r="C802" s="1" t="s">
        <v>4484</v>
      </c>
      <c r="D802" s="1" t="s">
        <v>4484</v>
      </c>
      <c r="E802" s="14" t="str">
        <f t="shared" si="2"/>
        <v>#NAME?</v>
      </c>
      <c r="F802" s="15" t="str">
        <f>IFERROR(__xludf.DUMMYFUNCTION("GOOGLETRANSLATE(D802,""zh-CN"", ""en"")"),"based on")</f>
        <v>based on</v>
      </c>
      <c r="G802" s="2" t="s">
        <v>4487</v>
      </c>
      <c r="H802" s="3" t="str">
        <f t="shared" si="1"/>
        <v>#NAME?</v>
      </c>
      <c r="I802" s="2" t="s">
        <v>4488</v>
      </c>
    </row>
    <row r="803">
      <c r="A803" s="1">
        <v>802.0</v>
      </c>
      <c r="B803" s="1" t="s">
        <v>4489</v>
      </c>
      <c r="C803" s="1" t="s">
        <v>4490</v>
      </c>
      <c r="D803" s="1" t="s">
        <v>4490</v>
      </c>
      <c r="E803" s="14" t="str">
        <f t="shared" si="2"/>
        <v>#NAME?</v>
      </c>
      <c r="F803" s="15" t="str">
        <f>IFERROR(__xludf.DUMMYFUNCTION("GOOGLETRANSLATE(D803,""zh-CN"", ""en"")"),"according to")</f>
        <v>according to</v>
      </c>
      <c r="G803" s="2" t="s">
        <v>4491</v>
      </c>
      <c r="H803" s="3" t="str">
        <f t="shared" si="1"/>
        <v>#NAME?</v>
      </c>
      <c r="I803" s="2" t="s">
        <v>4492</v>
      </c>
    </row>
    <row r="804">
      <c r="A804" s="1">
        <v>803.0</v>
      </c>
      <c r="B804" s="1" t="s">
        <v>4489</v>
      </c>
      <c r="C804" s="1" t="s">
        <v>4490</v>
      </c>
      <c r="D804" s="1" t="s">
        <v>4490</v>
      </c>
      <c r="E804" s="14" t="str">
        <f t="shared" si="2"/>
        <v>#NAME?</v>
      </c>
      <c r="F804" s="15" t="str">
        <f>IFERROR(__xludf.DUMMYFUNCTION("GOOGLETRANSLATE(D804,""zh-CN"", ""en"")"),"according to")</f>
        <v>according to</v>
      </c>
      <c r="G804" s="2" t="s">
        <v>4493</v>
      </c>
      <c r="H804" s="3" t="str">
        <f t="shared" si="1"/>
        <v>#NAME?</v>
      </c>
      <c r="I804" s="2" t="s">
        <v>4494</v>
      </c>
    </row>
    <row r="805">
      <c r="A805" s="1">
        <v>804.0</v>
      </c>
      <c r="B805" s="1" t="s">
        <v>4495</v>
      </c>
      <c r="C805" s="1" t="s">
        <v>4496</v>
      </c>
      <c r="D805" s="1" t="s">
        <v>4496</v>
      </c>
      <c r="E805" s="14" t="str">
        <f t="shared" si="2"/>
        <v>#NAME?</v>
      </c>
      <c r="F805" s="15" t="str">
        <f>IFERROR(__xludf.DUMMYFUNCTION("GOOGLETRANSLATE(D805,""zh-CN"", ""en"")"),"and")</f>
        <v>and</v>
      </c>
      <c r="G805" s="2" t="s">
        <v>4497</v>
      </c>
      <c r="H805" s="3" t="str">
        <f t="shared" si="1"/>
        <v>#NAME?</v>
      </c>
      <c r="I805" s="2" t="s">
        <v>4498</v>
      </c>
    </row>
    <row r="806">
      <c r="A806" s="1">
        <v>805.0</v>
      </c>
      <c r="B806" s="1" t="s">
        <v>4495</v>
      </c>
      <c r="C806" s="1" t="s">
        <v>4496</v>
      </c>
      <c r="D806" s="1" t="s">
        <v>4496</v>
      </c>
      <c r="E806" s="14" t="str">
        <f t="shared" si="2"/>
        <v>#NAME?</v>
      </c>
      <c r="F806" s="15" t="str">
        <f>IFERROR(__xludf.DUMMYFUNCTION("GOOGLETRANSLATE(D806,""zh-CN"", ""en"")"),"and")</f>
        <v>and</v>
      </c>
      <c r="G806" s="2" t="s">
        <v>4499</v>
      </c>
      <c r="H806" s="3" t="str">
        <f t="shared" si="1"/>
        <v>#NAME?</v>
      </c>
      <c r="I806" s="2" t="s">
        <v>4500</v>
      </c>
    </row>
    <row r="807">
      <c r="A807" s="1">
        <v>806.0</v>
      </c>
      <c r="B807" s="1" t="s">
        <v>4501</v>
      </c>
      <c r="C807" s="1" t="s">
        <v>4502</v>
      </c>
      <c r="D807" s="1" t="s">
        <v>4503</v>
      </c>
      <c r="E807" s="14" t="str">
        <f t="shared" si="2"/>
        <v>#NAME?</v>
      </c>
      <c r="F807" s="15" t="str">
        <f>IFERROR(__xludf.DUMMYFUNCTION("GOOGLETRANSLATE(D807,""zh-CN"", ""en"")"),"Then")</f>
        <v>Then</v>
      </c>
      <c r="G807" s="2" t="s">
        <v>4504</v>
      </c>
      <c r="H807" s="3" t="str">
        <f t="shared" si="1"/>
        <v>#NAME?</v>
      </c>
      <c r="I807" s="2" t="s">
        <v>4505</v>
      </c>
    </row>
    <row r="808">
      <c r="A808" s="1">
        <v>807.0</v>
      </c>
      <c r="B808" s="1" t="s">
        <v>4501</v>
      </c>
      <c r="C808" s="1" t="s">
        <v>4502</v>
      </c>
      <c r="D808" s="1" t="s">
        <v>4503</v>
      </c>
      <c r="E808" s="14" t="str">
        <f t="shared" si="2"/>
        <v>#NAME?</v>
      </c>
      <c r="F808" s="15" t="str">
        <f>IFERROR(__xludf.DUMMYFUNCTION("GOOGLETRANSLATE(D808,""zh-CN"", ""en"")"),"Then")</f>
        <v>Then</v>
      </c>
      <c r="G808" s="2" t="s">
        <v>4506</v>
      </c>
      <c r="H808" s="3" t="str">
        <f t="shared" si="1"/>
        <v>#NAME?</v>
      </c>
      <c r="I808" s="2" t="s">
        <v>4507</v>
      </c>
    </row>
    <row r="809">
      <c r="A809" s="1">
        <v>808.0</v>
      </c>
      <c r="B809" s="1" t="s">
        <v>4501</v>
      </c>
      <c r="C809" s="1" t="s">
        <v>4502</v>
      </c>
      <c r="D809" s="1" t="s">
        <v>4508</v>
      </c>
      <c r="E809" s="14" t="str">
        <f t="shared" si="2"/>
        <v>#NAME?</v>
      </c>
      <c r="F809" s="15" t="str">
        <f>IFERROR(__xludf.DUMMYFUNCTION("GOOGLETRANSLATE(D809,""zh-CN"", ""en"")"),"If it weren't for")</f>
        <v>If it weren't for</v>
      </c>
      <c r="G809" s="2" t="s">
        <v>4509</v>
      </c>
      <c r="H809" s="3" t="str">
        <f t="shared" si="1"/>
        <v>#NAME?</v>
      </c>
      <c r="I809" s="2" t="s">
        <v>4510</v>
      </c>
    </row>
    <row r="810">
      <c r="A810" s="1">
        <v>809.0</v>
      </c>
      <c r="B810" s="1" t="s">
        <v>4501</v>
      </c>
      <c r="C810" s="1" t="s">
        <v>4502</v>
      </c>
      <c r="D810" s="1" t="s">
        <v>4508</v>
      </c>
      <c r="E810" s="14" t="str">
        <f t="shared" si="2"/>
        <v>#NAME?</v>
      </c>
      <c r="F810" s="15" t="str">
        <f>IFERROR(__xludf.DUMMYFUNCTION("GOOGLETRANSLATE(D810,""zh-CN"", ""en"")"),"If it weren't for")</f>
        <v>If it weren't for</v>
      </c>
      <c r="G810" s="2" t="s">
        <v>4511</v>
      </c>
      <c r="H810" s="3" t="str">
        <f t="shared" si="1"/>
        <v>#NAME?</v>
      </c>
      <c r="I810" s="2" t="s">
        <v>4512</v>
      </c>
    </row>
    <row r="811">
      <c r="A811" s="1">
        <v>810.0</v>
      </c>
      <c r="B811" s="1" t="s">
        <v>4513</v>
      </c>
      <c r="C811" s="1" t="s">
        <v>4514</v>
      </c>
      <c r="D811" s="1" t="s">
        <v>4514</v>
      </c>
      <c r="E811" s="14" t="str">
        <f t="shared" si="2"/>
        <v>#NAME?</v>
      </c>
      <c r="F811" s="15" t="str">
        <f>IFERROR(__xludf.DUMMYFUNCTION("GOOGLETRANSLATE(D811,""zh-CN"", ""en"")"),"Of")</f>
        <v>Of</v>
      </c>
      <c r="G811" s="2" t="s">
        <v>4515</v>
      </c>
      <c r="H811" s="3" t="str">
        <f t="shared" si="1"/>
        <v>#NAME?</v>
      </c>
      <c r="I811" s="2" t="s">
        <v>4516</v>
      </c>
    </row>
    <row r="812">
      <c r="A812" s="1">
        <v>811.0</v>
      </c>
      <c r="B812" s="1" t="s">
        <v>4513</v>
      </c>
      <c r="C812" s="1" t="s">
        <v>4514</v>
      </c>
      <c r="D812" s="1" t="s">
        <v>4514</v>
      </c>
      <c r="E812" s="14" t="str">
        <f t="shared" si="2"/>
        <v>#NAME?</v>
      </c>
      <c r="F812" s="15" t="str">
        <f>IFERROR(__xludf.DUMMYFUNCTION("GOOGLETRANSLATE(D812,""zh-CN"", ""en"")"),"Of")</f>
        <v>Of</v>
      </c>
      <c r="G812" s="2" t="s">
        <v>4517</v>
      </c>
      <c r="H812" s="3" t="str">
        <f t="shared" si="1"/>
        <v>#NAME?</v>
      </c>
      <c r="I812" s="2" t="s">
        <v>4518</v>
      </c>
    </row>
    <row r="813">
      <c r="A813" s="1">
        <v>812.0</v>
      </c>
      <c r="B813" s="1" t="s">
        <v>4519</v>
      </c>
      <c r="C813" s="1" t="s">
        <v>4520</v>
      </c>
      <c r="D813" s="1" t="s">
        <v>4520</v>
      </c>
      <c r="E813" s="14" t="str">
        <f t="shared" si="2"/>
        <v>#NAME?</v>
      </c>
      <c r="F813" s="15" t="str">
        <f>IFERROR(__xludf.DUMMYFUNCTION("GOOGLETRANSLATE(D813,""zh-CN"", ""en"")"),"That's all")</f>
        <v>That's all</v>
      </c>
      <c r="G813" s="2" t="s">
        <v>4521</v>
      </c>
      <c r="H813" s="3" t="str">
        <f t="shared" si="1"/>
        <v>#NAME?</v>
      </c>
      <c r="I813" s="2" t="s">
        <v>4522</v>
      </c>
    </row>
    <row r="814">
      <c r="A814" s="1">
        <v>813.0</v>
      </c>
      <c r="B814" s="1" t="s">
        <v>4519</v>
      </c>
      <c r="C814" s="1" t="s">
        <v>4520</v>
      </c>
      <c r="D814" s="1" t="s">
        <v>4520</v>
      </c>
      <c r="E814" s="14" t="str">
        <f t="shared" si="2"/>
        <v>#NAME?</v>
      </c>
      <c r="F814" s="15" t="str">
        <f>IFERROR(__xludf.DUMMYFUNCTION("GOOGLETRANSLATE(D814,""zh-CN"", ""en"")"),"That's all")</f>
        <v>That's all</v>
      </c>
      <c r="G814" s="2" t="s">
        <v>4523</v>
      </c>
      <c r="H814" s="3" t="str">
        <f t="shared" si="1"/>
        <v>#NAME?</v>
      </c>
      <c r="I814" s="2" t="s">
        <v>4524</v>
      </c>
    </row>
    <row r="815">
      <c r="A815" s="1">
        <v>814.0</v>
      </c>
      <c r="B815" s="1" t="s">
        <v>4525</v>
      </c>
      <c r="C815" s="1" t="s">
        <v>4526</v>
      </c>
      <c r="D815" s="1" t="s">
        <v>4526</v>
      </c>
      <c r="E815" s="14" t="str">
        <f t="shared" si="2"/>
        <v>#NAME?</v>
      </c>
      <c r="F815" s="15" t="str">
        <f>IFERROR(__xludf.DUMMYFUNCTION("GOOGLETRANSLATE(D815,""zh-CN"", ""en"")"),"Ah")</f>
        <v>Ah</v>
      </c>
      <c r="G815" s="2" t="s">
        <v>4527</v>
      </c>
      <c r="H815" s="3" t="str">
        <f t="shared" si="1"/>
        <v>#NAME?</v>
      </c>
      <c r="I815" s="2" t="s">
        <v>4528</v>
      </c>
    </row>
    <row r="816">
      <c r="A816" s="1">
        <v>815.0</v>
      </c>
      <c r="B816" s="1" t="s">
        <v>4525</v>
      </c>
      <c r="C816" s="1" t="s">
        <v>4526</v>
      </c>
      <c r="D816" s="1" t="s">
        <v>4526</v>
      </c>
      <c r="E816" s="14" t="str">
        <f t="shared" si="2"/>
        <v>#NAME?</v>
      </c>
      <c r="F816" s="15" t="str">
        <f>IFERROR(__xludf.DUMMYFUNCTION("GOOGLETRANSLATE(D816,""zh-CN"", ""en"")"),"Ah")</f>
        <v>Ah</v>
      </c>
      <c r="G816" s="2" t="s">
        <v>4529</v>
      </c>
      <c r="H816" s="3" t="str">
        <f t="shared" si="1"/>
        <v>#NAME?</v>
      </c>
      <c r="I816" s="2" t="s">
        <v>4530</v>
      </c>
    </row>
    <row r="817">
      <c r="A817" s="1">
        <v>816.0</v>
      </c>
      <c r="B817" s="1" t="s">
        <v>4531</v>
      </c>
      <c r="C817" s="1" t="s">
        <v>4532</v>
      </c>
      <c r="D817" s="1" t="s">
        <v>4533</v>
      </c>
      <c r="E817" s="14" t="str">
        <f t="shared" si="2"/>
        <v>#NAME?</v>
      </c>
      <c r="F817" s="15" t="str">
        <f>IFERROR(__xludf.DUMMYFUNCTION("GOOGLETRANSLATE(D817,""zh-CN"", ""en"")"),"One body")</f>
        <v>One body</v>
      </c>
      <c r="G817" s="2" t="s">
        <v>4534</v>
      </c>
      <c r="H817" s="3" t="str">
        <f t="shared" si="1"/>
        <v>#NAME?</v>
      </c>
      <c r="I817" s="2" t="s">
        <v>4535</v>
      </c>
    </row>
    <row r="818">
      <c r="A818" s="1">
        <v>817.0</v>
      </c>
      <c r="B818" s="1" t="s">
        <v>4531</v>
      </c>
      <c r="C818" s="1" t="s">
        <v>4532</v>
      </c>
      <c r="D818" s="1" t="s">
        <v>4536</v>
      </c>
      <c r="E818" s="14" t="str">
        <f t="shared" si="2"/>
        <v>#NAME?</v>
      </c>
      <c r="F818" s="15" t="str">
        <f>IFERROR(__xludf.DUMMYFUNCTION("GOOGLETRANSLATE(D818,""zh-CN"", ""en"")"),"A group")</f>
        <v>A group</v>
      </c>
      <c r="G818" s="2" t="s">
        <v>4537</v>
      </c>
      <c r="H818" s="3" t="str">
        <f t="shared" si="1"/>
        <v>#NAME?</v>
      </c>
      <c r="I818" s="2" t="s">
        <v>4538</v>
      </c>
    </row>
    <row r="819">
      <c r="A819" s="1">
        <v>818.0</v>
      </c>
      <c r="B819" s="1" t="s">
        <v>4539</v>
      </c>
      <c r="C819" s="1" t="s">
        <v>4540</v>
      </c>
      <c r="D819" s="1" t="s">
        <v>4541</v>
      </c>
      <c r="E819" s="14" t="str">
        <f t="shared" si="2"/>
        <v>#NAME?</v>
      </c>
      <c r="F819" s="15" t="str">
        <f>IFERROR(__xludf.DUMMYFUNCTION("GOOGLETRANSLATE(D819,""zh-CN"", ""en"")"),"Love or not")</f>
        <v>Love or not</v>
      </c>
      <c r="G819" s="2" t="s">
        <v>4542</v>
      </c>
      <c r="H819" s="3" t="str">
        <f t="shared" si="1"/>
        <v>#NAME?</v>
      </c>
      <c r="I819" s="2" t="s">
        <v>4543</v>
      </c>
    </row>
    <row r="820">
      <c r="A820" s="1">
        <v>819.0</v>
      </c>
      <c r="B820" s="1" t="s">
        <v>4539</v>
      </c>
      <c r="C820" s="1" t="s">
        <v>4540</v>
      </c>
      <c r="D820" s="1" t="s">
        <v>4541</v>
      </c>
      <c r="E820" s="14" t="str">
        <f t="shared" si="2"/>
        <v>#NAME?</v>
      </c>
      <c r="F820" s="15" t="str">
        <f>IFERROR(__xludf.DUMMYFUNCTION("GOOGLETRANSLATE(D820,""zh-CN"", ""en"")"),"Love or not")</f>
        <v>Love or not</v>
      </c>
      <c r="G820" s="2" t="s">
        <v>4544</v>
      </c>
      <c r="H820" s="3" t="str">
        <f t="shared" si="1"/>
        <v>#NAME?</v>
      </c>
      <c r="I820" s="2" t="s">
        <v>4545</v>
      </c>
    </row>
    <row r="821">
      <c r="A821" s="1">
        <v>820.0</v>
      </c>
      <c r="B821" s="1" t="s">
        <v>4546</v>
      </c>
      <c r="C821" s="1" t="s">
        <v>4547</v>
      </c>
      <c r="D821" s="1" t="s">
        <v>4548</v>
      </c>
      <c r="E821" s="14" t="str">
        <f t="shared" si="2"/>
        <v>#NAME?</v>
      </c>
      <c r="F821" s="15" t="str">
        <f>IFERROR(__xludf.DUMMYFUNCTION("GOOGLETRANSLATE(D821,""zh-CN"", ""en"")"),"Half_half_")</f>
        <v>Half_half_</v>
      </c>
      <c r="G821" s="2" t="s">
        <v>4549</v>
      </c>
      <c r="H821" s="3" t="str">
        <f t="shared" si="1"/>
        <v>#NAME?</v>
      </c>
      <c r="I821" s="2" t="s">
        <v>4550</v>
      </c>
    </row>
    <row r="822">
      <c r="A822" s="1">
        <v>821.0</v>
      </c>
      <c r="B822" s="1" t="s">
        <v>4546</v>
      </c>
      <c r="C822" s="1" t="s">
        <v>4547</v>
      </c>
      <c r="D822" s="1" t="s">
        <v>4548</v>
      </c>
      <c r="E822" s="14" t="str">
        <f t="shared" si="2"/>
        <v>#NAME?</v>
      </c>
      <c r="F822" s="15" t="str">
        <f>IFERROR(__xludf.DUMMYFUNCTION("GOOGLETRANSLATE(D822,""zh-CN"", ""en"")"),"Half_half_")</f>
        <v>Half_half_</v>
      </c>
      <c r="G822" s="2" t="s">
        <v>4551</v>
      </c>
      <c r="H822" s="3" t="str">
        <f t="shared" si="1"/>
        <v>#NAME?</v>
      </c>
      <c r="I822" s="2" t="s">
        <v>4552</v>
      </c>
    </row>
    <row r="823">
      <c r="A823" s="1">
        <v>822.0</v>
      </c>
      <c r="B823" s="1" t="s">
        <v>4553</v>
      </c>
      <c r="C823" s="1" t="s">
        <v>4554</v>
      </c>
      <c r="D823" s="1" t="s">
        <v>4555</v>
      </c>
      <c r="E823" s="14" t="str">
        <f t="shared" si="2"/>
        <v>#NAME?</v>
      </c>
      <c r="F823" s="15" t="str">
        <f>IFERROR(__xludf.DUMMYFUNCTION("GOOGLETRANSLATE(D823,""zh-CN"", ""en"")"),"thing_")</f>
        <v>thing_</v>
      </c>
      <c r="G823" s="2" t="s">
        <v>4556</v>
      </c>
      <c r="H823" s="3" t="str">
        <f t="shared" si="1"/>
        <v>#NAME?</v>
      </c>
      <c r="I823" s="2" t="s">
        <v>4557</v>
      </c>
    </row>
    <row r="824">
      <c r="A824" s="1">
        <v>823.0</v>
      </c>
      <c r="B824" s="1" t="s">
        <v>4553</v>
      </c>
      <c r="C824" s="1" t="s">
        <v>4554</v>
      </c>
      <c r="D824" s="1" t="s">
        <v>4555</v>
      </c>
      <c r="E824" s="14" t="str">
        <f t="shared" si="2"/>
        <v>#NAME?</v>
      </c>
      <c r="F824" s="15" t="str">
        <f>IFERROR(__xludf.DUMMYFUNCTION("GOOGLETRANSLATE(D824,""zh-CN"", ""en"")"),"thing_")</f>
        <v>thing_</v>
      </c>
      <c r="G824" s="2" t="s">
        <v>4558</v>
      </c>
      <c r="H824" s="3" t="str">
        <f t="shared" si="1"/>
        <v>#NAME?</v>
      </c>
      <c r="I824" s="2" t="s">
        <v>4559</v>
      </c>
    </row>
    <row r="825">
      <c r="A825" s="1">
        <v>824.0</v>
      </c>
      <c r="B825" s="1" t="s">
        <v>4560</v>
      </c>
      <c r="C825" s="1" t="s">
        <v>4561</v>
      </c>
      <c r="D825" s="1" t="s">
        <v>4562</v>
      </c>
      <c r="E825" s="14" t="str">
        <f t="shared" si="2"/>
        <v>#NAME?</v>
      </c>
      <c r="F825" s="15" t="str">
        <f>IFERROR(__xludf.DUMMYFUNCTION("GOOGLETRANSLATE(D825,""zh-CN"", ""en"")"),"Non-Non-Non")</f>
        <v>Non-Non-Non</v>
      </c>
      <c r="G825" s="2" t="s">
        <v>4563</v>
      </c>
      <c r="H825" s="3" t="str">
        <f t="shared" si="1"/>
        <v>#NAME?</v>
      </c>
      <c r="I825" s="2" t="s">
        <v>4564</v>
      </c>
    </row>
    <row r="826">
      <c r="A826" s="1">
        <v>825.0</v>
      </c>
      <c r="B826" s="1" t="s">
        <v>4560</v>
      </c>
      <c r="C826" s="1" t="s">
        <v>4561</v>
      </c>
      <c r="D826" s="1" t="s">
        <v>4562</v>
      </c>
      <c r="E826" s="14" t="str">
        <f t="shared" si="2"/>
        <v>#NAME?</v>
      </c>
      <c r="F826" s="15" t="str">
        <f>IFERROR(__xludf.DUMMYFUNCTION("GOOGLETRANSLATE(D826,""zh-CN"", ""en"")"),"Non-Non-Non")</f>
        <v>Non-Non-Non</v>
      </c>
      <c r="G826" s="2" t="s">
        <v>4565</v>
      </c>
      <c r="H826" s="3" t="str">
        <f t="shared" si="1"/>
        <v>#NAME?</v>
      </c>
      <c r="I826" s="2" t="s">
        <v>4566</v>
      </c>
    </row>
    <row r="827">
      <c r="A827" s="1">
        <v>826.0</v>
      </c>
      <c r="B827" s="1" t="s">
        <v>4567</v>
      </c>
      <c r="C827" s="1" t="s">
        <v>4568</v>
      </c>
      <c r="D827" s="1" t="s">
        <v>4569</v>
      </c>
      <c r="E827" s="14" t="str">
        <f t="shared" si="2"/>
        <v>#NAME?</v>
      </c>
      <c r="F827" s="15" t="str">
        <f>IFERROR(__xludf.DUMMYFUNCTION("GOOGLETRANSLATE(D827,""zh-CN"", ""en"")"),"Huh_huh_")</f>
        <v>Huh_huh_</v>
      </c>
      <c r="G827" s="2" t="s">
        <v>4570</v>
      </c>
      <c r="H827" s="3" t="str">
        <f t="shared" si="1"/>
        <v>#NAME?</v>
      </c>
      <c r="I827" s="2" t="s">
        <v>4571</v>
      </c>
    </row>
    <row r="828">
      <c r="A828" s="1">
        <v>827.0</v>
      </c>
      <c r="B828" s="1" t="s">
        <v>4567</v>
      </c>
      <c r="C828" s="1" t="s">
        <v>4568</v>
      </c>
      <c r="D828" s="1" t="s">
        <v>4569</v>
      </c>
      <c r="E828" s="14" t="str">
        <f t="shared" si="2"/>
        <v>#NAME?</v>
      </c>
      <c r="F828" s="15" t="str">
        <f>IFERROR(__xludf.DUMMYFUNCTION("GOOGLETRANSLATE(D828,""zh-CN"", ""en"")"),"Huh_huh_")</f>
        <v>Huh_huh_</v>
      </c>
      <c r="G828" s="2" t="s">
        <v>4572</v>
      </c>
      <c r="H828" s="3" t="str">
        <f t="shared" si="1"/>
        <v>#NAME?</v>
      </c>
      <c r="I828" s="2" t="s">
        <v>4573</v>
      </c>
    </row>
    <row r="829">
      <c r="A829" s="1">
        <v>828.0</v>
      </c>
      <c r="B829" s="1" t="s">
        <v>4574</v>
      </c>
      <c r="C829" s="1" t="s">
        <v>4575</v>
      </c>
      <c r="D829" s="1" t="s">
        <v>4576</v>
      </c>
      <c r="E829" s="14" t="str">
        <f t="shared" si="2"/>
        <v>#NAME?</v>
      </c>
      <c r="F829" s="15" t="str">
        <f>IFERROR(__xludf.DUMMYFUNCTION("GOOGLETRANSLATE(D829,""zh-CN"", ""en"")"),"Along with")</f>
        <v>Along with</v>
      </c>
      <c r="G829" s="2" t="s">
        <v>4577</v>
      </c>
      <c r="H829" s="3" t="str">
        <f t="shared" si="1"/>
        <v>#NAME?</v>
      </c>
      <c r="I829" s="2" t="s">
        <v>4578</v>
      </c>
    </row>
    <row r="830">
      <c r="A830" s="1">
        <v>829.0</v>
      </c>
      <c r="B830" s="1" t="s">
        <v>4574</v>
      </c>
      <c r="C830" s="1" t="s">
        <v>4575</v>
      </c>
      <c r="D830" s="1" t="s">
        <v>4576</v>
      </c>
      <c r="E830" s="14" t="str">
        <f t="shared" si="2"/>
        <v>#NAME?</v>
      </c>
      <c r="F830" s="15" t="str">
        <f>IFERROR(__xludf.DUMMYFUNCTION("GOOGLETRANSLATE(D830,""zh-CN"", ""en"")"),"Along with")</f>
        <v>Along with</v>
      </c>
      <c r="G830" s="2" t="s">
        <v>4579</v>
      </c>
      <c r="H830" s="3" t="str">
        <f t="shared" si="1"/>
        <v>#NAME?</v>
      </c>
      <c r="I830" s="2" t="s">
        <v>4580</v>
      </c>
    </row>
    <row r="831">
      <c r="A831" s="1">
        <v>830.0</v>
      </c>
      <c r="B831" s="1" t="s">
        <v>4581</v>
      </c>
      <c r="C831" s="1" t="s">
        <v>4582</v>
      </c>
      <c r="D831" s="1" t="s">
        <v>4583</v>
      </c>
      <c r="E831" s="14" t="str">
        <f t="shared" si="2"/>
        <v>#NAME?</v>
      </c>
      <c r="F831" s="15" t="str">
        <f>IFERROR(__xludf.DUMMYFUNCTION("GOOGLETRANSLATE(D831,""zh-CN"", ""en"")"),"time_time_")</f>
        <v>time_time_</v>
      </c>
      <c r="G831" s="2" t="s">
        <v>4584</v>
      </c>
      <c r="H831" s="3" t="str">
        <f t="shared" si="1"/>
        <v>#NAME?</v>
      </c>
      <c r="I831" s="2" t="s">
        <v>4585</v>
      </c>
    </row>
    <row r="832">
      <c r="A832" s="1">
        <v>831.0</v>
      </c>
      <c r="B832" s="1" t="s">
        <v>4581</v>
      </c>
      <c r="C832" s="1" t="s">
        <v>4582</v>
      </c>
      <c r="D832" s="1" t="s">
        <v>4583</v>
      </c>
      <c r="E832" s="14" t="str">
        <f t="shared" si="2"/>
        <v>#NAME?</v>
      </c>
      <c r="F832" s="15" t="str">
        <f>IFERROR(__xludf.DUMMYFUNCTION("GOOGLETRANSLATE(D832,""zh-CN"", ""en"")"),"time_time_")</f>
        <v>time_time_</v>
      </c>
      <c r="G832" s="2" t="s">
        <v>4586</v>
      </c>
      <c r="H832" s="3" t="str">
        <f t="shared" si="1"/>
        <v>#NAME?</v>
      </c>
      <c r="I832" s="2" t="s">
        <v>4587</v>
      </c>
    </row>
    <row r="833">
      <c r="A833" s="1">
        <v>832.0</v>
      </c>
      <c r="B833" s="1" t="s">
        <v>4588</v>
      </c>
      <c r="C833" s="1" t="s">
        <v>4589</v>
      </c>
      <c r="D833" s="1" t="s">
        <v>4590</v>
      </c>
      <c r="E833" s="14" t="str">
        <f t="shared" si="2"/>
        <v>#NAME?</v>
      </c>
      <c r="F833" s="15" t="str">
        <f>IFERROR(__xludf.DUMMYFUNCTION("GOOGLETRANSLATE(D833,""zh-CN"", ""en"")"),"since_since_")</f>
        <v>since_since_</v>
      </c>
      <c r="G833" s="2" t="s">
        <v>4591</v>
      </c>
      <c r="H833" s="3" t="str">
        <f t="shared" si="1"/>
        <v>#NAME?</v>
      </c>
      <c r="I833" s="2" t="s">
        <v>4592</v>
      </c>
    </row>
    <row r="834">
      <c r="A834" s="1">
        <v>833.0</v>
      </c>
      <c r="B834" s="1" t="s">
        <v>4588</v>
      </c>
      <c r="C834" s="1" t="s">
        <v>4589</v>
      </c>
      <c r="D834" s="1" t="s">
        <v>4590</v>
      </c>
      <c r="E834" s="14" t="str">
        <f t="shared" si="2"/>
        <v>#NAME?</v>
      </c>
      <c r="F834" s="15" t="str">
        <f>IFERROR(__xludf.DUMMYFUNCTION("GOOGLETRANSLATE(D834,""zh-CN"", ""en"")"),"since_since_")</f>
        <v>since_since_</v>
      </c>
      <c r="G834" s="2" t="s">
        <v>4593</v>
      </c>
      <c r="H834" s="3" t="str">
        <f t="shared" si="1"/>
        <v>#NAME?</v>
      </c>
      <c r="I834" s="2" t="s">
        <v>4594</v>
      </c>
    </row>
    <row r="835">
      <c r="A835" s="1">
        <v>834.0</v>
      </c>
      <c r="B835" s="1" t="s">
        <v>4595</v>
      </c>
      <c r="C835" s="1" t="s">
        <v>3420</v>
      </c>
      <c r="D835" s="1" t="s">
        <v>3420</v>
      </c>
      <c r="E835" s="14" t="str">
        <f t="shared" si="2"/>
        <v>#NAME?</v>
      </c>
      <c r="F835" s="15" t="str">
        <f>IFERROR(__xludf.DUMMYFUNCTION("GOOGLETRANSLATE(D835,""zh-CN"", ""en"")"),"anxious")</f>
        <v>anxious</v>
      </c>
      <c r="G835" s="2" t="s">
        <v>4596</v>
      </c>
      <c r="H835" s="3" t="str">
        <f t="shared" si="1"/>
        <v>#NAME?</v>
      </c>
      <c r="I835" s="2" t="s">
        <v>4597</v>
      </c>
    </row>
    <row r="836">
      <c r="A836" s="1">
        <v>835.0</v>
      </c>
      <c r="B836" s="1" t="s">
        <v>4595</v>
      </c>
      <c r="C836" s="1" t="s">
        <v>3420</v>
      </c>
      <c r="D836" s="1" t="s">
        <v>3420</v>
      </c>
      <c r="E836" s="14" t="str">
        <f t="shared" si="2"/>
        <v>#NAME?</v>
      </c>
      <c r="F836" s="15" t="str">
        <f>IFERROR(__xludf.DUMMYFUNCTION("GOOGLETRANSLATE(D836,""zh-CN"", ""en"")"),"anxious")</f>
        <v>anxious</v>
      </c>
      <c r="G836" s="2" t="s">
        <v>4598</v>
      </c>
      <c r="H836" s="3" t="str">
        <f t="shared" si="1"/>
        <v>#NAME?</v>
      </c>
      <c r="I836" s="2" t="s">
        <v>4599</v>
      </c>
    </row>
    <row r="837">
      <c r="A837" s="1">
        <v>836.0</v>
      </c>
      <c r="B837" s="1" t="s">
        <v>4600</v>
      </c>
      <c r="C837" s="1" t="s">
        <v>4601</v>
      </c>
      <c r="D837" s="1" t="s">
        <v>4601</v>
      </c>
      <c r="E837" s="14" t="str">
        <f t="shared" si="2"/>
        <v>#NAME?</v>
      </c>
      <c r="F837" s="15" t="str">
        <f>IFERROR(__xludf.DUMMYFUNCTION("GOOGLETRANSLATE(D837,""zh-CN"", ""en"")"),"Don't even mention it.")</f>
        <v>Don't even mention it.</v>
      </c>
      <c r="G837" s="2" t="s">
        <v>4602</v>
      </c>
      <c r="H837" s="3" t="str">
        <f t="shared" si="1"/>
        <v>#NAME?</v>
      </c>
      <c r="I837" s="2" t="s">
        <v>4603</v>
      </c>
    </row>
    <row r="838">
      <c r="A838" s="1">
        <v>837.0</v>
      </c>
      <c r="B838" s="1" t="s">
        <v>4600</v>
      </c>
      <c r="C838" s="1" t="s">
        <v>4601</v>
      </c>
      <c r="D838" s="1" t="s">
        <v>4601</v>
      </c>
      <c r="E838" s="14" t="str">
        <f t="shared" si="2"/>
        <v>#NAME?</v>
      </c>
      <c r="F838" s="15" t="str">
        <f>IFERROR(__xludf.DUMMYFUNCTION("GOOGLETRANSLATE(D838,""zh-CN"", ""en"")"),"Don't even mention it.")</f>
        <v>Don't even mention it.</v>
      </c>
      <c r="G838" s="2" t="s">
        <v>4604</v>
      </c>
      <c r="H838" s="3" t="str">
        <f t="shared" si="1"/>
        <v>#NAME?</v>
      </c>
      <c r="I838" s="2" t="s">
        <v>4605</v>
      </c>
    </row>
    <row r="839">
      <c r="A839" s="1">
        <v>838.0</v>
      </c>
      <c r="B839" s="1" t="s">
        <v>4606</v>
      </c>
      <c r="C839" s="1" t="s">
        <v>4607</v>
      </c>
      <c r="D839" s="1" t="s">
        <v>4607</v>
      </c>
      <c r="E839" s="14" t="str">
        <f t="shared" si="2"/>
        <v>#NAME?</v>
      </c>
      <c r="F839" s="15" t="str">
        <f>IFERROR(__xludf.DUMMYFUNCTION("GOOGLETRANSLATE(D839,""zh-CN"", ""en"")"),"besides")</f>
        <v>besides</v>
      </c>
      <c r="G839" s="2" t="s">
        <v>4608</v>
      </c>
      <c r="H839" s="3" t="str">
        <f t="shared" si="1"/>
        <v>#NAME?</v>
      </c>
      <c r="I839" s="2" t="s">
        <v>4609</v>
      </c>
    </row>
    <row r="840">
      <c r="A840" s="1">
        <v>839.0</v>
      </c>
      <c r="B840" s="1" t="s">
        <v>4606</v>
      </c>
      <c r="C840" s="1" t="s">
        <v>4607</v>
      </c>
      <c r="D840" s="1" t="s">
        <v>4607</v>
      </c>
      <c r="E840" s="14" t="str">
        <f t="shared" si="2"/>
        <v>#NAME?</v>
      </c>
      <c r="F840" s="15" t="str">
        <f>IFERROR(__xludf.DUMMYFUNCTION("GOOGLETRANSLATE(D840,""zh-CN"", ""en"")"),"besides")</f>
        <v>besides</v>
      </c>
      <c r="G840" s="2" t="s">
        <v>4610</v>
      </c>
      <c r="H840" s="3" t="str">
        <f t="shared" si="1"/>
        <v>#NAME?</v>
      </c>
      <c r="I840" s="2" t="s">
        <v>4611</v>
      </c>
    </row>
    <row r="841">
      <c r="A841" s="1">
        <v>840.0</v>
      </c>
      <c r="B841" s="1" t="s">
        <v>4612</v>
      </c>
      <c r="C841" s="1" t="s">
        <v>4031</v>
      </c>
      <c r="D841" s="1" t="s">
        <v>4031</v>
      </c>
      <c r="E841" s="14" t="str">
        <f t="shared" si="2"/>
        <v>#NAME?</v>
      </c>
      <c r="F841" s="15" t="str">
        <f>IFERROR(__xludf.DUMMYFUNCTION("GOOGLETRANSLATE(D841,""zh-CN"", ""en"")"),"Ultimately")</f>
        <v>Ultimately</v>
      </c>
      <c r="G841" s="2" t="s">
        <v>4613</v>
      </c>
      <c r="H841" s="3" t="str">
        <f t="shared" si="1"/>
        <v>#NAME?</v>
      </c>
      <c r="I841" s="2" t="s">
        <v>4614</v>
      </c>
    </row>
    <row r="842">
      <c r="A842" s="1">
        <v>841.0</v>
      </c>
      <c r="B842" s="1" t="s">
        <v>4612</v>
      </c>
      <c r="C842" s="1" t="s">
        <v>4031</v>
      </c>
      <c r="D842" s="1" t="s">
        <v>4031</v>
      </c>
      <c r="E842" s="14" t="str">
        <f t="shared" si="2"/>
        <v>#NAME?</v>
      </c>
      <c r="F842" s="15" t="str">
        <f>IFERROR(__xludf.DUMMYFUNCTION("GOOGLETRANSLATE(D842,""zh-CN"", ""en"")"),"Ultimately")</f>
        <v>Ultimately</v>
      </c>
      <c r="G842" s="2" t="s">
        <v>4615</v>
      </c>
      <c r="H842" s="3" t="str">
        <f t="shared" si="1"/>
        <v>#NAME?</v>
      </c>
      <c r="I842" s="2" t="s">
        <v>4616</v>
      </c>
    </row>
    <row r="843">
      <c r="A843" s="1">
        <v>842.0</v>
      </c>
      <c r="B843" s="1" t="s">
        <v>4617</v>
      </c>
      <c r="C843" s="1" t="s">
        <v>4618</v>
      </c>
      <c r="D843" s="1" t="s">
        <v>4618</v>
      </c>
      <c r="E843" s="14" t="str">
        <f t="shared" si="2"/>
        <v>#NAME?</v>
      </c>
      <c r="F843" s="15" t="str">
        <f>IFERROR(__xludf.DUMMYFUNCTION("GOOGLETRANSLATE(D843,""zh-CN"", ""en"")"),"That's right.")</f>
        <v>That's right.</v>
      </c>
      <c r="G843" s="2" t="s">
        <v>4619</v>
      </c>
      <c r="H843" s="3" t="str">
        <f t="shared" si="1"/>
        <v>#NAME?</v>
      </c>
      <c r="I843" s="2" t="s">
        <v>4620</v>
      </c>
    </row>
    <row r="844">
      <c r="A844" s="1">
        <v>843.0</v>
      </c>
      <c r="B844" s="1" t="s">
        <v>4617</v>
      </c>
      <c r="C844" s="1" t="s">
        <v>4618</v>
      </c>
      <c r="D844" s="1" t="s">
        <v>4618</v>
      </c>
      <c r="E844" s="14" t="str">
        <f t="shared" si="2"/>
        <v>#NAME?</v>
      </c>
      <c r="F844" s="15" t="str">
        <f>IFERROR(__xludf.DUMMYFUNCTION("GOOGLETRANSLATE(D844,""zh-CN"", ""en"")"),"That's right.")</f>
        <v>That's right.</v>
      </c>
      <c r="G844" s="2" t="s">
        <v>4621</v>
      </c>
      <c r="H844" s="3" t="str">
        <f t="shared" si="1"/>
        <v>#NAME?</v>
      </c>
      <c r="I844" s="2" t="s">
        <v>4622</v>
      </c>
    </row>
    <row r="845">
      <c r="A845" s="1">
        <v>844.0</v>
      </c>
      <c r="B845" s="1" t="s">
        <v>4617</v>
      </c>
      <c r="C845" s="1" t="s">
        <v>4618</v>
      </c>
      <c r="D845" s="1" t="s">
        <v>4618</v>
      </c>
      <c r="E845" s="14" t="str">
        <f t="shared" si="2"/>
        <v>#NAME?</v>
      </c>
      <c r="F845" s="15" t="str">
        <f>IFERROR(__xludf.DUMMYFUNCTION("GOOGLETRANSLATE(D845,""zh-CN"", ""en"")"),"That's right.")</f>
        <v>That's right.</v>
      </c>
      <c r="G845" s="2" t="s">
        <v>4623</v>
      </c>
      <c r="H845" s="3" t="str">
        <f t="shared" si="1"/>
        <v>#NAME?</v>
      </c>
      <c r="I845" s="2" t="s">
        <v>4624</v>
      </c>
    </row>
    <row r="846">
      <c r="A846" s="1">
        <v>845.0</v>
      </c>
      <c r="B846" s="1" t="s">
        <v>4617</v>
      </c>
      <c r="C846" s="1" t="s">
        <v>4618</v>
      </c>
      <c r="D846" s="1" t="s">
        <v>4618</v>
      </c>
      <c r="E846" s="14" t="str">
        <f t="shared" si="2"/>
        <v>#NAME?</v>
      </c>
      <c r="F846" s="15" t="str">
        <f>IFERROR(__xludf.DUMMYFUNCTION("GOOGLETRANSLATE(D846,""zh-CN"", ""en"")"),"That's right.")</f>
        <v>That's right.</v>
      </c>
      <c r="G846" s="2" t="s">
        <v>4625</v>
      </c>
      <c r="H846" s="3" t="str">
        <f t="shared" si="1"/>
        <v>#NAME?</v>
      </c>
      <c r="I846" s="2" t="s">
        <v>4626</v>
      </c>
    </row>
    <row r="847">
      <c r="A847" s="1">
        <v>846.0</v>
      </c>
      <c r="B847" s="1" t="s">
        <v>4627</v>
      </c>
      <c r="C847" s="1" t="s">
        <v>4628</v>
      </c>
      <c r="D847" s="1" t="s">
        <v>4628</v>
      </c>
      <c r="E847" s="14" t="str">
        <f t="shared" si="2"/>
        <v>#NAME?</v>
      </c>
      <c r="F847" s="15" t="str">
        <f>IFERROR(__xludf.DUMMYFUNCTION("GOOGLETRANSLATE(D847,""zh-CN"", ""en"")"),"No question")</f>
        <v>No question</v>
      </c>
      <c r="G847" s="2" t="s">
        <v>4629</v>
      </c>
      <c r="H847" s="3" t="str">
        <f t="shared" si="1"/>
        <v>#NAME?</v>
      </c>
      <c r="I847" s="2" t="s">
        <v>4630</v>
      </c>
    </row>
    <row r="848">
      <c r="A848" s="1">
        <v>847.0</v>
      </c>
      <c r="B848" s="1" t="s">
        <v>4627</v>
      </c>
      <c r="C848" s="1" t="s">
        <v>4628</v>
      </c>
      <c r="D848" s="1" t="s">
        <v>4628</v>
      </c>
      <c r="E848" s="14" t="str">
        <f t="shared" si="2"/>
        <v>#NAME?</v>
      </c>
      <c r="F848" s="15" t="str">
        <f>IFERROR(__xludf.DUMMYFUNCTION("GOOGLETRANSLATE(D848,""zh-CN"", ""en"")"),"No question")</f>
        <v>No question</v>
      </c>
      <c r="G848" s="2" t="s">
        <v>4631</v>
      </c>
      <c r="H848" s="3" t="str">
        <f t="shared" si="1"/>
        <v>#NAME?</v>
      </c>
      <c r="I848" s="2" t="s">
        <v>4632</v>
      </c>
    </row>
    <row r="849">
      <c r="A849" s="1">
        <v>848.0</v>
      </c>
      <c r="B849" s="1" t="s">
        <v>4633</v>
      </c>
      <c r="C849" s="1" t="s">
        <v>4634</v>
      </c>
      <c r="D849" s="1" t="s">
        <v>4634</v>
      </c>
      <c r="E849" s="14" t="str">
        <f t="shared" si="2"/>
        <v>#NAME?</v>
      </c>
      <c r="F849" s="15" t="str">
        <f>IFERROR(__xludf.DUMMYFUNCTION("GOOGLETRANSLATE(D849,""zh-CN"", ""en"")"),"anyway")</f>
        <v>anyway</v>
      </c>
      <c r="G849" s="2" t="s">
        <v>4635</v>
      </c>
      <c r="H849" s="3" t="str">
        <f t="shared" si="1"/>
        <v>#NAME?</v>
      </c>
      <c r="I849" s="2" t="s">
        <v>4636</v>
      </c>
    </row>
    <row r="850">
      <c r="A850" s="1">
        <v>849.0</v>
      </c>
      <c r="B850" s="1" t="s">
        <v>4633</v>
      </c>
      <c r="C850" s="1" t="s">
        <v>4634</v>
      </c>
      <c r="D850" s="1" t="s">
        <v>4634</v>
      </c>
      <c r="E850" s="14" t="str">
        <f t="shared" si="2"/>
        <v>#NAME?</v>
      </c>
      <c r="F850" s="15" t="str">
        <f>IFERROR(__xludf.DUMMYFUNCTION("GOOGLETRANSLATE(D850,""zh-CN"", ""en"")"),"anyway")</f>
        <v>anyway</v>
      </c>
      <c r="G850" s="2" t="s">
        <v>4637</v>
      </c>
      <c r="H850" s="3" t="str">
        <f t="shared" si="1"/>
        <v>#NAME?</v>
      </c>
      <c r="I850" s="2" t="s">
        <v>4638</v>
      </c>
    </row>
    <row r="851">
      <c r="A851" s="1">
        <v>850.0</v>
      </c>
      <c r="B851" s="1" t="s">
        <v>4639</v>
      </c>
      <c r="C851" s="1" t="s">
        <v>4640</v>
      </c>
      <c r="D851" s="1" t="s">
        <v>4640</v>
      </c>
      <c r="E851" s="14" t="str">
        <f t="shared" si="2"/>
        <v>#NAME?</v>
      </c>
      <c r="F851" s="15" t="str">
        <f>IFERROR(__xludf.DUMMYFUNCTION("GOOGLETRANSLATE(D851,""zh-CN"", ""en"")"),"Therefore, it can be seen that")</f>
        <v>Therefore, it can be seen that</v>
      </c>
      <c r="G851" s="2" t="s">
        <v>4641</v>
      </c>
      <c r="H851" s="3" t="str">
        <f t="shared" si="1"/>
        <v>#NAME?</v>
      </c>
      <c r="I851" s="2" t="s">
        <v>4642</v>
      </c>
    </row>
    <row r="852">
      <c r="A852" s="1">
        <v>853.0</v>
      </c>
      <c r="B852" s="1" t="s">
        <v>4643</v>
      </c>
      <c r="C852" s="1" t="s">
        <v>4644</v>
      </c>
      <c r="D852" s="1" t="s">
        <v>4644</v>
      </c>
      <c r="E852" s="14" t="str">
        <f t="shared" si="2"/>
        <v>#NAME?</v>
      </c>
      <c r="F852" s="15" t="str">
        <f>IFERROR(__xludf.DUMMYFUNCTION("GOOGLETRANSLATE(D852,""zh-CN"", ""en"")"),"at the same time")</f>
        <v>at the same time</v>
      </c>
      <c r="G852" s="2" t="s">
        <v>4645</v>
      </c>
      <c r="H852" s="3" t="str">
        <f t="shared" si="1"/>
        <v>#NAME?</v>
      </c>
      <c r="I852" s="2" t="s">
        <v>4646</v>
      </c>
    </row>
    <row r="853">
      <c r="A853" s="1">
        <v>854.0</v>
      </c>
      <c r="B853" s="1" t="s">
        <v>4643</v>
      </c>
      <c r="C853" s="1" t="s">
        <v>4644</v>
      </c>
      <c r="D853" s="1" t="s">
        <v>4644</v>
      </c>
      <c r="E853" s="14" t="str">
        <f t="shared" si="2"/>
        <v>#NAME?</v>
      </c>
      <c r="F853" s="15" t="str">
        <f>IFERROR(__xludf.DUMMYFUNCTION("GOOGLETRANSLATE(D853,""zh-CN"", ""en"")"),"at the same time")</f>
        <v>at the same time</v>
      </c>
      <c r="G853" s="2" t="s">
        <v>4647</v>
      </c>
      <c r="H853" s="3" t="str">
        <f t="shared" si="1"/>
        <v>#NAME?</v>
      </c>
      <c r="I853" s="2" t="s">
        <v>4648</v>
      </c>
    </row>
    <row r="854">
      <c r="A854" s="1">
        <v>855.0</v>
      </c>
      <c r="B854" s="1" t="s">
        <v>4649</v>
      </c>
      <c r="C854" s="1" t="s">
        <v>4650</v>
      </c>
      <c r="D854" s="1" t="s">
        <v>4650</v>
      </c>
      <c r="E854" s="14" t="str">
        <f t="shared" si="2"/>
        <v>#NAME?</v>
      </c>
      <c r="F854" s="15" t="str">
        <f>IFERROR(__xludf.DUMMYFUNCTION("GOOGLETRANSLATE(D854,""zh-CN"", ""en"")"),"In this way")</f>
        <v>In this way</v>
      </c>
      <c r="G854" s="2" t="s">
        <v>4651</v>
      </c>
      <c r="H854" s="3" t="str">
        <f t="shared" si="1"/>
        <v>#NAME?</v>
      </c>
      <c r="I854" s="2" t="s">
        <v>4652</v>
      </c>
    </row>
    <row r="855">
      <c r="A855" s="1">
        <v>856.0</v>
      </c>
      <c r="B855" s="1" t="s">
        <v>4649</v>
      </c>
      <c r="C855" s="1" t="s">
        <v>4650</v>
      </c>
      <c r="D855" s="1" t="s">
        <v>4650</v>
      </c>
      <c r="E855" s="14" t="str">
        <f t="shared" si="2"/>
        <v>#NAME?</v>
      </c>
      <c r="F855" s="15" t="str">
        <f>IFERROR(__xludf.DUMMYFUNCTION("GOOGLETRANSLATE(D855,""zh-CN"", ""en"")"),"In this way")</f>
        <v>In this way</v>
      </c>
      <c r="G855" s="2" t="s">
        <v>4653</v>
      </c>
      <c r="H855" s="3" t="str">
        <f t="shared" si="1"/>
        <v>#NAME?</v>
      </c>
      <c r="I855" s="2" t="s">
        <v>4654</v>
      </c>
    </row>
    <row r="856">
      <c r="A856" s="1">
        <v>857.0</v>
      </c>
      <c r="B856" s="1" t="s">
        <v>4655</v>
      </c>
      <c r="C856" s="1" t="s">
        <v>4656</v>
      </c>
      <c r="D856" s="1" t="s">
        <v>4656</v>
      </c>
      <c r="E856" s="14" t="str">
        <f t="shared" si="2"/>
        <v>#NAME?</v>
      </c>
      <c r="F856" s="15" t="str">
        <f>IFERROR(__xludf.DUMMYFUNCTION("GOOGLETRANSLATE(D856,""zh-CN"", ""en"")"),"In summary")</f>
        <v>In summary</v>
      </c>
      <c r="G856" s="2" t="s">
        <v>4657</v>
      </c>
      <c r="H856" s="3" t="str">
        <f t="shared" si="1"/>
        <v>#NAME?</v>
      </c>
      <c r="I856" s="2" t="s">
        <v>4658</v>
      </c>
    </row>
    <row r="857">
      <c r="A857" s="1">
        <v>858.0</v>
      </c>
      <c r="B857" s="1" t="s">
        <v>4655</v>
      </c>
      <c r="C857" s="1" t="s">
        <v>4656</v>
      </c>
      <c r="D857" s="1" t="s">
        <v>4656</v>
      </c>
      <c r="E857" s="14" t="str">
        <f t="shared" si="2"/>
        <v>#NAME?</v>
      </c>
      <c r="F857" s="15" t="str">
        <f>IFERROR(__xludf.DUMMYFUNCTION("GOOGLETRANSLATE(D857,""zh-CN"", ""en"")"),"In summary")</f>
        <v>In summary</v>
      </c>
      <c r="G857" s="2" t="s">
        <v>4659</v>
      </c>
      <c r="H857" s="3" t="str">
        <f t="shared" si="1"/>
        <v>#NAME?</v>
      </c>
      <c r="I857" s="2" t="s">
        <v>4660</v>
      </c>
    </row>
    <row r="858">
      <c r="A858" s="1">
        <v>859.0</v>
      </c>
      <c r="B858" s="1" t="s">
        <v>4661</v>
      </c>
      <c r="C858" s="1" t="s">
        <v>4662</v>
      </c>
      <c r="D858" s="1" t="s">
        <v>2190</v>
      </c>
      <c r="E858" s="14" t="str">
        <f t="shared" si="2"/>
        <v>#NAME?</v>
      </c>
      <c r="F858" s="15" t="str">
        <f>IFERROR(__xludf.DUMMYFUNCTION("GOOGLETRANSLATE(D858,""zh-CN"", ""en"")"),"In general")</f>
        <v>In general</v>
      </c>
      <c r="G858" s="2" t="s">
        <v>4663</v>
      </c>
      <c r="H858" s="3" t="str">
        <f t="shared" si="1"/>
        <v>#NAME?</v>
      </c>
      <c r="I858" s="2" t="s">
        <v>4664</v>
      </c>
    </row>
    <row r="859">
      <c r="A859" s="1">
        <v>860.0</v>
      </c>
      <c r="B859" s="1" t="s">
        <v>4661</v>
      </c>
      <c r="C859" s="1" t="s">
        <v>4662</v>
      </c>
      <c r="D859" s="1" t="s">
        <v>2190</v>
      </c>
      <c r="E859" s="14" t="str">
        <f t="shared" si="2"/>
        <v>#NAME?</v>
      </c>
      <c r="F859" s="15" t="str">
        <f>IFERROR(__xludf.DUMMYFUNCTION("GOOGLETRANSLATE(D859,""zh-CN"", ""en"")"),"In general")</f>
        <v>In general</v>
      </c>
      <c r="G859" s="2" t="s">
        <v>4665</v>
      </c>
      <c r="H859" s="3" t="str">
        <f t="shared" si="1"/>
        <v>#NAME?</v>
      </c>
      <c r="I859" s="2" t="s">
        <v>4666</v>
      </c>
    </row>
    <row r="860">
      <c r="A860" s="1">
        <v>861.0</v>
      </c>
      <c r="B860" s="1" t="s">
        <v>4661</v>
      </c>
      <c r="C860" s="1" t="s">
        <v>4662</v>
      </c>
      <c r="D860" s="1" t="s">
        <v>4667</v>
      </c>
      <c r="E860" s="14" t="str">
        <f t="shared" si="2"/>
        <v>#NAME?</v>
      </c>
      <c r="F860" s="15" t="str">
        <f>IFERROR(__xludf.DUMMYFUNCTION("GOOGLETRANSLATE(D860,""zh-CN"", ""en"")"),"all in all")</f>
        <v>all in all</v>
      </c>
      <c r="G860" s="2" t="s">
        <v>4668</v>
      </c>
      <c r="H860" s="3" t="str">
        <f t="shared" si="1"/>
        <v>#NAME?</v>
      </c>
      <c r="I860" s="2" t="s">
        <v>4669</v>
      </c>
    </row>
    <row r="861">
      <c r="A861" s="1">
        <v>862.0</v>
      </c>
      <c r="B861" s="1" t="s">
        <v>4661</v>
      </c>
      <c r="C861" s="1" t="s">
        <v>4662</v>
      </c>
      <c r="D861" s="1" t="s">
        <v>4667</v>
      </c>
      <c r="E861" s="14" t="str">
        <f t="shared" si="2"/>
        <v>#NAME?</v>
      </c>
      <c r="F861" s="15" t="str">
        <f>IFERROR(__xludf.DUMMYFUNCTION("GOOGLETRANSLATE(D861,""zh-CN"", ""en"")"),"all in all")</f>
        <v>all in all</v>
      </c>
      <c r="G861" s="2" t="s">
        <v>4670</v>
      </c>
      <c r="H861" s="3" t="str">
        <f t="shared" si="1"/>
        <v>#NAME?</v>
      </c>
      <c r="I861" s="2" t="s">
        <v>4671</v>
      </c>
    </row>
    <row r="862">
      <c r="A862" s="1">
        <v>863.0</v>
      </c>
      <c r="B862" s="1" t="s">
        <v>4672</v>
      </c>
      <c r="C862" s="1" t="s">
        <v>4673</v>
      </c>
      <c r="D862" s="1" t="s">
        <v>4674</v>
      </c>
      <c r="E862" s="14" t="str">
        <f t="shared" si="2"/>
        <v>#NAME?</v>
      </c>
      <c r="F862" s="15" t="str">
        <f>IFERROR(__xludf.DUMMYFUNCTION("GOOGLETRANSLATE(D862,""zh-CN"", ""en"")"),"I don't know ___ good")</f>
        <v>I don't know ___ good</v>
      </c>
      <c r="G862" s="2" t="s">
        <v>4675</v>
      </c>
      <c r="H862" s="3" t="str">
        <f t="shared" si="1"/>
        <v>#NAME?</v>
      </c>
      <c r="I862" s="2" t="s">
        <v>4676</v>
      </c>
    </row>
    <row r="863">
      <c r="A863" s="1">
        <v>864.0</v>
      </c>
      <c r="B863" s="1" t="s">
        <v>4672</v>
      </c>
      <c r="C863" s="1" t="s">
        <v>4673</v>
      </c>
      <c r="D863" s="1" t="s">
        <v>4677</v>
      </c>
      <c r="E863" s="14" t="str">
        <f t="shared" si="2"/>
        <v>#NAME?</v>
      </c>
      <c r="F863" s="15" t="str">
        <f>IFERROR(__xludf.DUMMYFUNCTION("GOOGLETRANSLATE(D863,""zh-CN"", ""en"")"),"What to say")</f>
        <v>What to say</v>
      </c>
      <c r="G863" s="2" t="s">
        <v>4678</v>
      </c>
      <c r="H863" s="3" t="str">
        <f t="shared" si="1"/>
        <v>#NAME?</v>
      </c>
      <c r="I863" s="2" t="s">
        <v>4679</v>
      </c>
    </row>
    <row r="864">
      <c r="A864" s="1">
        <v>865.0</v>
      </c>
      <c r="B864" s="1" t="s">
        <v>4680</v>
      </c>
      <c r="C864" s="1" t="s">
        <v>4681</v>
      </c>
      <c r="D864" s="1" t="s">
        <v>4682</v>
      </c>
      <c r="E864" s="14" t="str">
        <f t="shared" si="2"/>
        <v>#NAME?</v>
      </c>
      <c r="F864" s="15" t="str">
        <f>IFERROR(__xludf.DUMMYFUNCTION("GOOGLETRANSLATE(D864,""zh-CN"", ""en"")"),"The so-called * is *")</f>
        <v>The so-called * is *</v>
      </c>
      <c r="G864" s="2" t="s">
        <v>4683</v>
      </c>
      <c r="H864" s="3" t="str">
        <f t="shared" si="1"/>
        <v>#NAME?</v>
      </c>
      <c r="I864" s="2" t="s">
        <v>4684</v>
      </c>
    </row>
    <row r="865">
      <c r="A865" s="1">
        <v>866.0</v>
      </c>
      <c r="B865" s="1" t="s">
        <v>4680</v>
      </c>
      <c r="C865" s="1" t="s">
        <v>4681</v>
      </c>
      <c r="D865" s="1" t="s">
        <v>4682</v>
      </c>
      <c r="E865" s="14" t="str">
        <f t="shared" si="2"/>
        <v>#NAME?</v>
      </c>
      <c r="F865" s="15" t="str">
        <f>IFERROR(__xludf.DUMMYFUNCTION("GOOGLETRANSLATE(D865,""zh-CN"", ""en"")"),"The so-called * is *")</f>
        <v>The so-called * is *</v>
      </c>
      <c r="G865" s="2" t="s">
        <v>4685</v>
      </c>
      <c r="H865" s="3" t="str">
        <f t="shared" si="1"/>
        <v>#NAME?</v>
      </c>
      <c r="I865" s="2" t="s">
        <v>4686</v>
      </c>
    </row>
    <row r="866">
      <c r="A866" s="1">
        <v>867.0</v>
      </c>
      <c r="B866" s="1" t="s">
        <v>4687</v>
      </c>
      <c r="C866" s="1" t="s">
        <v>4688</v>
      </c>
      <c r="D866" s="1" t="s">
        <v>4689</v>
      </c>
      <c r="E866" s="14" t="str">
        <f t="shared" si="2"/>
        <v>#NAME?</v>
      </c>
      <c r="F866" s="15" t="str">
        <f>IFERROR(__xludf.DUMMYFUNCTION("GOOGLETRANSLATE(D866,""zh-CN"", ""en"")"),"It's nothing more than that.")</f>
        <v>It's nothing more than that.</v>
      </c>
      <c r="G866" s="2" t="s">
        <v>4690</v>
      </c>
      <c r="H866" s="3" t="str">
        <f t="shared" si="1"/>
        <v>#NAME?</v>
      </c>
      <c r="I866" s="2" t="s">
        <v>4691</v>
      </c>
    </row>
    <row r="867">
      <c r="A867" s="1">
        <v>868.0</v>
      </c>
      <c r="B867" s="1" t="s">
        <v>4687</v>
      </c>
      <c r="C867" s="1" t="s">
        <v>4688</v>
      </c>
      <c r="D867" s="1" t="s">
        <v>4692</v>
      </c>
      <c r="E867" s="14" t="str">
        <f t="shared" si="2"/>
        <v>#NAME?</v>
      </c>
      <c r="F867" s="15" t="str">
        <f>IFERROR(__xludf.DUMMYFUNCTION("GOOGLETRANSLATE(D867,""zh-CN"", ""en"")"),"It's nothing.")</f>
        <v>It's nothing.</v>
      </c>
      <c r="G867" s="2" t="s">
        <v>4693</v>
      </c>
      <c r="H867" s="3" t="str">
        <f t="shared" si="1"/>
        <v>#NAME?</v>
      </c>
      <c r="I867" s="2" t="s">
        <v>4694</v>
      </c>
    </row>
    <row r="868">
      <c r="A868" s="1">
        <v>869.0</v>
      </c>
      <c r="B868" s="1" t="s">
        <v>4687</v>
      </c>
      <c r="C868" s="1" t="s">
        <v>4688</v>
      </c>
      <c r="D868" s="1" t="s">
        <v>4695</v>
      </c>
      <c r="E868" s="14" t="str">
        <f t="shared" si="2"/>
        <v>#NAME?</v>
      </c>
      <c r="F868" s="15" t="str">
        <f>IFERROR(__xludf.DUMMYFUNCTION("GOOGLETRANSLATE(D868,""zh-CN"", ""en"")"),"It's just *")</f>
        <v>It's just *</v>
      </c>
      <c r="G868" s="2" t="s">
        <v>4696</v>
      </c>
      <c r="H868" s="3" t="str">
        <f t="shared" si="1"/>
        <v>#NAME?</v>
      </c>
      <c r="I868" s="2" t="s">
        <v>4697</v>
      </c>
    </row>
    <row r="869">
      <c r="A869" s="1">
        <v>870.0</v>
      </c>
      <c r="B869" s="1" t="s">
        <v>4687</v>
      </c>
      <c r="C869" s="1" t="s">
        <v>4688</v>
      </c>
      <c r="D869" s="1" t="s">
        <v>4698</v>
      </c>
      <c r="E869" s="14" t="str">
        <f t="shared" si="2"/>
        <v>#NAME?</v>
      </c>
      <c r="F869" s="15" t="str">
        <f>IFERROR(__xludf.DUMMYFUNCTION("GOOGLETRANSLATE(D869,""zh-CN"", ""en"")"),"That's all.")</f>
        <v>That's all.</v>
      </c>
      <c r="G869" s="2" t="s">
        <v>4699</v>
      </c>
      <c r="H869" s="3" t="str">
        <f t="shared" si="1"/>
        <v>#NAME?</v>
      </c>
      <c r="I869" s="2" t="s">
        <v>4700</v>
      </c>
    </row>
    <row r="870">
      <c r="A870" s="1">
        <v>871.0</v>
      </c>
      <c r="B870" s="1" t="s">
        <v>4701</v>
      </c>
      <c r="C870" s="1" t="s">
        <v>4702</v>
      </c>
      <c r="D870" s="1" t="s">
        <v>4703</v>
      </c>
      <c r="E870" s="14" t="str">
        <f t="shared" si="2"/>
        <v>#NAME?</v>
      </c>
      <c r="F870" s="15" t="str">
        <f>IFERROR(__xludf.DUMMYFUNCTION("GOOGLETRANSLATE(D870,""zh-CN"", ""en"")"),"Think*")</f>
        <v>Think*</v>
      </c>
      <c r="G870" s="2" t="s">
        <v>4704</v>
      </c>
      <c r="H870" s="3" t="str">
        <f t="shared" si="1"/>
        <v>#NAME?</v>
      </c>
      <c r="I870" s="2" t="s">
        <v>4705</v>
      </c>
    </row>
    <row r="871">
      <c r="A871" s="1">
        <v>872.0</v>
      </c>
      <c r="B871" s="1" t="s">
        <v>4701</v>
      </c>
      <c r="C871" s="1" t="s">
        <v>4702</v>
      </c>
      <c r="D871" s="1" t="s">
        <v>4703</v>
      </c>
      <c r="E871" s="14" t="str">
        <f t="shared" si="2"/>
        <v>#NAME?</v>
      </c>
      <c r="F871" s="15" t="str">
        <f>IFERROR(__xludf.DUMMYFUNCTION("GOOGLETRANSLATE(D871,""zh-CN"", ""en"")"),"Think*")</f>
        <v>Think*</v>
      </c>
      <c r="G871" s="2" t="s">
        <v>4706</v>
      </c>
      <c r="H871" s="3" t="str">
        <f t="shared" si="1"/>
        <v>#NAME?</v>
      </c>
      <c r="I871" s="2" t="s">
        <v>4707</v>
      </c>
    </row>
    <row r="872">
      <c r="A872" s="1">
        <v>873.0</v>
      </c>
      <c r="B872" s="1" t="s">
        <v>4708</v>
      </c>
      <c r="C872" s="1" t="s">
        <v>4709</v>
      </c>
      <c r="D872" s="1" t="s">
        <v>4710</v>
      </c>
      <c r="E872" s="14" t="str">
        <f t="shared" si="2"/>
        <v>#NAME?</v>
      </c>
      <c r="F872" s="15" t="str">
        <f>IFERROR(__xludf.DUMMYFUNCTION("GOOGLETRANSLATE(D872,""zh-CN"", ""en"")"),"thus*")</f>
        <v>thus*</v>
      </c>
      <c r="G872" s="2" t="s">
        <v>4711</v>
      </c>
      <c r="H872" s="3" t="str">
        <f t="shared" si="1"/>
        <v>#NAME?</v>
      </c>
      <c r="I872" s="2" t="s">
        <v>4712</v>
      </c>
    </row>
    <row r="873">
      <c r="A873" s="1">
        <v>874.0</v>
      </c>
      <c r="B873" s="1" t="s">
        <v>4708</v>
      </c>
      <c r="C873" s="1" t="s">
        <v>4709</v>
      </c>
      <c r="D873" s="1" t="s">
        <v>4710</v>
      </c>
      <c r="E873" s="14" t="str">
        <f t="shared" si="2"/>
        <v>#NAME?</v>
      </c>
      <c r="F873" s="15" t="str">
        <f>IFERROR(__xludf.DUMMYFUNCTION("GOOGLETRANSLATE(D873,""zh-CN"", ""en"")"),"thus*")</f>
        <v>thus*</v>
      </c>
      <c r="G873" s="2" t="s">
        <v>4713</v>
      </c>
      <c r="H873" s="3" t="str">
        <f t="shared" si="1"/>
        <v>#NAME?</v>
      </c>
      <c r="I873" s="2" t="s">
        <v>4714</v>
      </c>
    </row>
    <row r="874">
      <c r="A874" s="1">
        <v>875.0</v>
      </c>
      <c r="B874" s="1" t="s">
        <v>4715</v>
      </c>
      <c r="C874" s="1" t="s">
        <v>4716</v>
      </c>
      <c r="D874" s="1" t="s">
        <v>4717</v>
      </c>
      <c r="E874" s="14" t="str">
        <f t="shared" si="2"/>
        <v>#NAME?</v>
      </c>
      <c r="F874" s="2" t="s">
        <v>4718</v>
      </c>
      <c r="G874" s="2" t="s">
        <v>4719</v>
      </c>
      <c r="H874" s="3" t="str">
        <f t="shared" si="1"/>
        <v>#NAME?</v>
      </c>
      <c r="I874" s="2" t="s">
        <v>4720</v>
      </c>
    </row>
    <row r="875">
      <c r="A875" s="1">
        <v>876.0</v>
      </c>
      <c r="B875" s="1" t="s">
        <v>4715</v>
      </c>
      <c r="C875" s="1" t="s">
        <v>4716</v>
      </c>
      <c r="D875" s="1" t="s">
        <v>4717</v>
      </c>
      <c r="E875" s="14" t="str">
        <f t="shared" si="2"/>
        <v>#NAME?</v>
      </c>
      <c r="F875" s="2" t="s">
        <v>4718</v>
      </c>
      <c r="G875" s="2" t="s">
        <v>4721</v>
      </c>
      <c r="H875" s="3" t="str">
        <f t="shared" si="1"/>
        <v>#NAME?</v>
      </c>
      <c r="I875" s="2" t="s">
        <v>4722</v>
      </c>
    </row>
    <row r="876">
      <c r="A876" s="1">
        <v>877.0</v>
      </c>
      <c r="B876" s="1" t="s">
        <v>4715</v>
      </c>
      <c r="C876" s="1" t="s">
        <v>4723</v>
      </c>
      <c r="D876" s="1" t="s">
        <v>4724</v>
      </c>
      <c r="E876" s="14" t="str">
        <f t="shared" si="2"/>
        <v>#NAME?</v>
      </c>
      <c r="F876" s="2" t="s">
        <v>4725</v>
      </c>
      <c r="G876" s="2" t="s">
        <v>4726</v>
      </c>
      <c r="H876" s="3" t="str">
        <f t="shared" si="1"/>
        <v>#NAME?</v>
      </c>
      <c r="I876" s="2" t="s">
        <v>4727</v>
      </c>
    </row>
    <row r="877">
      <c r="A877" s="1">
        <v>878.0</v>
      </c>
      <c r="B877" s="1" t="s">
        <v>4715</v>
      </c>
      <c r="C877" s="1" t="s">
        <v>4723</v>
      </c>
      <c r="D877" s="1" t="s">
        <v>4724</v>
      </c>
      <c r="E877" s="14" t="str">
        <f t="shared" si="2"/>
        <v>#NAME?</v>
      </c>
      <c r="F877" s="2" t="s">
        <v>4725</v>
      </c>
      <c r="G877" s="2" t="s">
        <v>4728</v>
      </c>
      <c r="H877" s="3" t="str">
        <f t="shared" si="1"/>
        <v>#NAME?</v>
      </c>
      <c r="I877" s="2" t="s">
        <v>4729</v>
      </c>
    </row>
    <row r="878">
      <c r="A878" s="1">
        <v>879.0</v>
      </c>
      <c r="B878" s="1" t="s">
        <v>4715</v>
      </c>
      <c r="C878" s="1" t="s">
        <v>4730</v>
      </c>
      <c r="E878" s="14" t="str">
        <f t="shared" si="2"/>
        <v>#NAME?</v>
      </c>
      <c r="F878" s="2" t="s">
        <v>4731</v>
      </c>
      <c r="G878" s="2" t="s">
        <v>4732</v>
      </c>
      <c r="H878" s="3" t="str">
        <f t="shared" si="1"/>
        <v>#NAME?</v>
      </c>
      <c r="I878" s="2" t="s">
        <v>4733</v>
      </c>
    </row>
    <row r="879">
      <c r="A879" s="1">
        <v>880.0</v>
      </c>
      <c r="B879" s="1" t="s">
        <v>4715</v>
      </c>
      <c r="C879" s="1" t="s">
        <v>4730</v>
      </c>
      <c r="E879" s="14" t="str">
        <f t="shared" si="2"/>
        <v>#NAME?</v>
      </c>
      <c r="F879" s="2" t="s">
        <v>4731</v>
      </c>
      <c r="G879" s="2" t="s">
        <v>4734</v>
      </c>
      <c r="H879" s="3" t="str">
        <f t="shared" si="1"/>
        <v>#NAME?</v>
      </c>
      <c r="I879" s="2" t="s">
        <v>4735</v>
      </c>
    </row>
    <row r="880">
      <c r="A880" s="1">
        <v>881.0</v>
      </c>
      <c r="B880" s="1" t="s">
        <v>4715</v>
      </c>
      <c r="C880" s="1" t="s">
        <v>4736</v>
      </c>
      <c r="D880" s="1" t="s">
        <v>4737</v>
      </c>
      <c r="E880" s="14" t="str">
        <f t="shared" si="2"/>
        <v>#NAME?</v>
      </c>
      <c r="F880" s="2" t="s">
        <v>4738</v>
      </c>
      <c r="G880" s="2" t="s">
        <v>4739</v>
      </c>
      <c r="H880" s="3" t="str">
        <f t="shared" si="1"/>
        <v>#NAME?</v>
      </c>
      <c r="I880" s="2" t="s">
        <v>4740</v>
      </c>
    </row>
    <row r="881">
      <c r="A881" s="1">
        <v>882.0</v>
      </c>
      <c r="B881" s="1" t="s">
        <v>4715</v>
      </c>
      <c r="C881" s="1" t="s">
        <v>4736</v>
      </c>
      <c r="D881" s="1" t="s">
        <v>4741</v>
      </c>
      <c r="E881" s="14" t="str">
        <f t="shared" si="2"/>
        <v>#NAME?</v>
      </c>
      <c r="F881" s="2" t="s">
        <v>4738</v>
      </c>
      <c r="G881" s="2" t="s">
        <v>4742</v>
      </c>
      <c r="H881" s="3" t="str">
        <f t="shared" si="1"/>
        <v>#NAME?</v>
      </c>
      <c r="I881" s="2" t="s">
        <v>4743</v>
      </c>
    </row>
    <row r="882">
      <c r="A882" s="1">
        <v>883.0</v>
      </c>
      <c r="B882" s="1" t="s">
        <v>4744</v>
      </c>
      <c r="C882" s="1" t="s">
        <v>4745</v>
      </c>
      <c r="D882" s="1" t="s">
        <v>4746</v>
      </c>
      <c r="E882" s="14" t="str">
        <f t="shared" si="2"/>
        <v>#NAME?</v>
      </c>
      <c r="F882" s="15" t="str">
        <f>IFERROR(__xludf.DUMMYFUNCTION("GOOGLETRANSLATE(D882,""zh-CN"", ""en"")"),"It's not good")</f>
        <v>It's not good</v>
      </c>
      <c r="G882" s="2" t="s">
        <v>4747</v>
      </c>
      <c r="H882" s="3" t="str">
        <f t="shared" si="1"/>
        <v>#NAME?</v>
      </c>
      <c r="I882" s="2" t="s">
        <v>4748</v>
      </c>
    </row>
    <row r="883">
      <c r="A883" s="1">
        <v>884.0</v>
      </c>
      <c r="B883" s="1" t="s">
        <v>4744</v>
      </c>
      <c r="C883" s="1" t="s">
        <v>4745</v>
      </c>
      <c r="D883" s="1" t="s">
        <v>4746</v>
      </c>
      <c r="E883" s="14" t="str">
        <f t="shared" si="2"/>
        <v>#NAME?</v>
      </c>
      <c r="F883" s="15" t="str">
        <f>IFERROR(__xludf.DUMMYFUNCTION("GOOGLETRANSLATE(D883,""zh-CN"", ""en"")"),"It's not good")</f>
        <v>It's not good</v>
      </c>
      <c r="G883" s="2" t="s">
        <v>4749</v>
      </c>
      <c r="H883" s="3" t="str">
        <f t="shared" si="1"/>
        <v>#NAME?</v>
      </c>
      <c r="I883" s="2" t="s">
        <v>4750</v>
      </c>
    </row>
    <row r="884">
      <c r="A884" s="1">
        <v>885.0</v>
      </c>
      <c r="B884" s="1" t="s">
        <v>4744</v>
      </c>
      <c r="C884" s="1" t="s">
        <v>4751</v>
      </c>
      <c r="D884" s="1" t="s">
        <v>4752</v>
      </c>
      <c r="E884" s="14" t="str">
        <f t="shared" si="2"/>
        <v>#NAME?</v>
      </c>
      <c r="F884" s="15" t="str">
        <f>IFERROR(__xludf.DUMMYFUNCTION("GOOGLETRANSLATE(D884,""zh-CN"", ""en"")"),"It's deadly")</f>
        <v>It's deadly</v>
      </c>
      <c r="G884" s="2" t="s">
        <v>4753</v>
      </c>
      <c r="H884" s="3" t="str">
        <f t="shared" si="1"/>
        <v>#NAME?</v>
      </c>
      <c r="I884" s="2" t="s">
        <v>4754</v>
      </c>
    </row>
    <row r="885">
      <c r="A885" s="1">
        <v>886.0</v>
      </c>
      <c r="B885" s="1" t="s">
        <v>4744</v>
      </c>
      <c r="C885" s="1" t="s">
        <v>4751</v>
      </c>
      <c r="D885" s="1" t="s">
        <v>4755</v>
      </c>
      <c r="E885" s="14" t="str">
        <f t="shared" si="2"/>
        <v>#NAME?</v>
      </c>
      <c r="F885" s="15" t="str">
        <f>IFERROR(__xludf.DUMMYFUNCTION("GOOGLETRANSLATE(D885,""zh-CN"", ""en"")"),"It's so bad!")</f>
        <v>It's so bad!</v>
      </c>
      <c r="G885" s="2" t="s">
        <v>4756</v>
      </c>
      <c r="H885" s="3" t="str">
        <f t="shared" si="1"/>
        <v>#NAME?</v>
      </c>
      <c r="I885" s="2" t="s">
        <v>4757</v>
      </c>
    </row>
    <row r="886">
      <c r="A886" s="1">
        <v>887.0</v>
      </c>
      <c r="B886" s="1" t="s">
        <v>4758</v>
      </c>
      <c r="C886" s="1" t="s">
        <v>4759</v>
      </c>
      <c r="D886" s="1" t="s">
        <v>4760</v>
      </c>
      <c r="E886" s="14" t="str">
        <f t="shared" si="2"/>
        <v>#NAME?</v>
      </c>
      <c r="F886" s="15" t="str">
        <f>IFERROR(__xludf.DUMMYFUNCTION("GOOGLETRANSLATE(D886,""zh-CN"", ""en"")"),"Cry")</f>
        <v>Cry</v>
      </c>
      <c r="G886" s="2" t="s">
        <v>4761</v>
      </c>
      <c r="H886" s="3" t="str">
        <f t="shared" si="1"/>
        <v>#NAME?</v>
      </c>
      <c r="I886" s="2" t="s">
        <v>4762</v>
      </c>
    </row>
    <row r="887">
      <c r="A887" s="1">
        <v>888.0</v>
      </c>
      <c r="B887" s="1" t="s">
        <v>4758</v>
      </c>
      <c r="C887" s="1" t="s">
        <v>4759</v>
      </c>
      <c r="D887" s="1" t="s">
        <v>4763</v>
      </c>
      <c r="E887" s="14" t="str">
        <f t="shared" si="2"/>
        <v>#NAME?</v>
      </c>
      <c r="F887" s="15" t="str">
        <f>IFERROR(__xludf.DUMMYFUNCTION("GOOGLETRANSLATE(D887,""zh-CN"", ""en"")"),"Explain clearly")</f>
        <v>Explain clearly</v>
      </c>
      <c r="G887" s="2" t="s">
        <v>4764</v>
      </c>
      <c r="H887" s="3" t="str">
        <f t="shared" si="1"/>
        <v>#NAME?</v>
      </c>
      <c r="I887" s="2" t="s">
        <v>4765</v>
      </c>
    </row>
    <row r="888">
      <c r="A888" s="1">
        <v>889.0</v>
      </c>
      <c r="B888" s="1" t="s">
        <v>4766</v>
      </c>
      <c r="C888" s="1" t="s">
        <v>4767</v>
      </c>
      <c r="E888" s="14" t="str">
        <f t="shared" si="2"/>
        <v>#NAME?</v>
      </c>
      <c r="F888" s="15" t="str">
        <f>IFERROR(__xludf.DUMMYFUNCTION("GOOGLETRANSLATE(D888,""zh-CN"", ""en"")"),"#VALUE!")</f>
        <v>#VALUE!</v>
      </c>
      <c r="G888" s="2" t="s">
        <v>4768</v>
      </c>
      <c r="H888" s="3" t="str">
        <f t="shared" si="1"/>
        <v>#NAME?</v>
      </c>
      <c r="I888" s="2" t="s">
        <v>4769</v>
      </c>
    </row>
    <row r="889">
      <c r="A889" s="1">
        <v>890.0</v>
      </c>
      <c r="B889" s="1" t="s">
        <v>4766</v>
      </c>
      <c r="C889" s="1" t="s">
        <v>4767</v>
      </c>
      <c r="E889" s="14" t="str">
        <f t="shared" si="2"/>
        <v>#NAME?</v>
      </c>
      <c r="F889" s="15" t="str">
        <f>IFERROR(__xludf.DUMMYFUNCTION("GOOGLETRANSLATE(D889,""zh-CN"", ""en"")"),"#VALUE!")</f>
        <v>#VALUE!</v>
      </c>
      <c r="G889" s="2" t="s">
        <v>4770</v>
      </c>
      <c r="H889" s="3" t="str">
        <f t="shared" si="1"/>
        <v>#NAME?</v>
      </c>
      <c r="I889" s="2" t="s">
        <v>4771</v>
      </c>
    </row>
    <row r="890">
      <c r="A890" s="1">
        <v>891.0</v>
      </c>
      <c r="B890" s="1" t="s">
        <v>4772</v>
      </c>
      <c r="C890" s="1" t="s">
        <v>4773</v>
      </c>
      <c r="D890" s="1" t="s">
        <v>4774</v>
      </c>
      <c r="E890" s="14" t="str">
        <f t="shared" si="2"/>
        <v>#NAME?</v>
      </c>
      <c r="F890" s="15" t="str">
        <f>IFERROR(__xludf.DUMMYFUNCTION("GOOGLETRANSLATE(D890,""zh-CN"", ""en"")"),"The person who was *")</f>
        <v>The person who was *</v>
      </c>
      <c r="G890" s="2" t="s">
        <v>4775</v>
      </c>
      <c r="H890" s="3" t="str">
        <f t="shared" si="1"/>
        <v>#NAME?</v>
      </c>
      <c r="I890" s="2" t="s">
        <v>4776</v>
      </c>
    </row>
    <row r="891">
      <c r="A891" s="1">
        <v>892.0</v>
      </c>
      <c r="B891" s="1" t="s">
        <v>4772</v>
      </c>
      <c r="C891" s="1" t="s">
        <v>4773</v>
      </c>
      <c r="D891" s="1" t="s">
        <v>4774</v>
      </c>
      <c r="E891" s="14" t="str">
        <f t="shared" si="2"/>
        <v>#NAME?</v>
      </c>
      <c r="F891" s="15" t="str">
        <f>IFERROR(__xludf.DUMMYFUNCTION("GOOGLETRANSLATE(D891,""zh-CN"", ""en"")"),"The person who was *")</f>
        <v>The person who was *</v>
      </c>
      <c r="G891" s="2" t="s">
        <v>4777</v>
      </c>
      <c r="H891" s="3" t="str">
        <f t="shared" si="1"/>
        <v>#NAME?</v>
      </c>
      <c r="I891" s="2" t="s">
        <v>4778</v>
      </c>
    </row>
    <row r="892">
      <c r="A892" s="1">
        <v>893.0</v>
      </c>
      <c r="B892" s="1" t="s">
        <v>4772</v>
      </c>
      <c r="C892" s="1" t="s">
        <v>4779</v>
      </c>
      <c r="D892" s="1" t="s">
        <v>4780</v>
      </c>
      <c r="E892" s="14" t="str">
        <f t="shared" si="2"/>
        <v>#NAME?</v>
      </c>
      <c r="F892" s="15" t="str">
        <f>IFERROR(__xludf.DUMMYFUNCTION("GOOGLETRANSLATE(D892,""zh-CN"", ""en"")"),"For *what*")</f>
        <v>For *what*</v>
      </c>
      <c r="G892" s="2" t="s">
        <v>4781</v>
      </c>
      <c r="H892" s="3" t="str">
        <f t="shared" si="1"/>
        <v>#NAME?</v>
      </c>
      <c r="I892" s="2" t="s">
        <v>4782</v>
      </c>
    </row>
    <row r="893">
      <c r="A893" s="1">
        <v>894.0</v>
      </c>
      <c r="B893" s="1" t="s">
        <v>4772</v>
      </c>
      <c r="C893" s="1" t="s">
        <v>4779</v>
      </c>
      <c r="D893" s="1" t="s">
        <v>4780</v>
      </c>
      <c r="E893" s="14" t="str">
        <f t="shared" si="2"/>
        <v>#NAME?</v>
      </c>
      <c r="F893" s="15" t="str">
        <f>IFERROR(__xludf.DUMMYFUNCTION("GOOGLETRANSLATE(D893,""zh-CN"", ""en"")"),"For *what*")</f>
        <v>For *what*</v>
      </c>
      <c r="G893" s="2" t="s">
        <v>4783</v>
      </c>
      <c r="H893" s="3" t="str">
        <f t="shared" si="1"/>
        <v>#NAME?</v>
      </c>
      <c r="I893" s="2" t="s">
        <v>4784</v>
      </c>
    </row>
    <row r="894">
      <c r="A894" s="1">
        <v>895.0</v>
      </c>
      <c r="B894" s="1" t="s">
        <v>4785</v>
      </c>
      <c r="C894" s="1" t="s">
        <v>4786</v>
      </c>
      <c r="D894" s="1" t="s">
        <v>4787</v>
      </c>
      <c r="E894" s="14" t="str">
        <f t="shared" si="2"/>
        <v>#NAME?</v>
      </c>
      <c r="F894" s="15" t="str">
        <f>IFERROR(__xludf.DUMMYFUNCTION("GOOGLETRANSLATE(D894,""zh-CN"", ""en"")"),"Compared to")</f>
        <v>Compared to</v>
      </c>
      <c r="G894" s="2" t="s">
        <v>4788</v>
      </c>
      <c r="H894" s="3" t="str">
        <f t="shared" si="1"/>
        <v>#NAME?</v>
      </c>
      <c r="I894" s="2" t="s">
        <v>4789</v>
      </c>
    </row>
    <row r="895">
      <c r="A895" s="1">
        <v>896.0</v>
      </c>
      <c r="B895" s="1" t="s">
        <v>4785</v>
      </c>
      <c r="C895" s="1" t="s">
        <v>4786</v>
      </c>
      <c r="D895" s="1" t="s">
        <v>4790</v>
      </c>
      <c r="E895" s="14" t="str">
        <f t="shared" si="2"/>
        <v>#NAME?</v>
      </c>
      <c r="F895" s="15" t="str">
        <f>IFERROR(__xludf.DUMMYFUNCTION("GOOGLETRANSLATE(D895,""zh-CN"", ""en"")"),"Compared to *")</f>
        <v>Compared to *</v>
      </c>
      <c r="G895" s="2" t="s">
        <v>4791</v>
      </c>
      <c r="H895" s="3" t="str">
        <f t="shared" si="1"/>
        <v>#NAME?</v>
      </c>
      <c r="I895" s="2" t="s">
        <v>4792</v>
      </c>
    </row>
    <row r="896">
      <c r="A896" s="1">
        <v>897.0</v>
      </c>
      <c r="B896" s="1" t="s">
        <v>4785</v>
      </c>
      <c r="C896" s="1" t="s">
        <v>4793</v>
      </c>
      <c r="D896" s="1" t="s">
        <v>4794</v>
      </c>
      <c r="E896" s="14" t="str">
        <f t="shared" si="2"/>
        <v>#NAME?</v>
      </c>
      <c r="F896" s="15" t="str">
        <f>IFERROR(__xludf.DUMMYFUNCTION("GOOGLETRANSLATE(D896,""zh-CN"", ""en"")"),"Greater than")</f>
        <v>Greater than</v>
      </c>
      <c r="G896" s="2" t="s">
        <v>4795</v>
      </c>
      <c r="H896" s="3" t="str">
        <f t="shared" si="1"/>
        <v>#NAME?</v>
      </c>
      <c r="I896" s="2" t="s">
        <v>4796</v>
      </c>
    </row>
    <row r="897">
      <c r="A897" s="1">
        <v>898.0</v>
      </c>
      <c r="B897" s="1" t="s">
        <v>4785</v>
      </c>
      <c r="C897" s="1" t="s">
        <v>4793</v>
      </c>
      <c r="D897" s="1" t="s">
        <v>4797</v>
      </c>
      <c r="E897" s="14" t="str">
        <f t="shared" si="2"/>
        <v>#NAME?</v>
      </c>
      <c r="F897" s="15" t="str">
        <f>IFERROR(__xludf.DUMMYFUNCTION("GOOGLETRANSLATE(D897,""zh-CN"", ""en"")"),"Higher than")</f>
        <v>Higher than</v>
      </c>
      <c r="G897" s="2" t="s">
        <v>4798</v>
      </c>
      <c r="H897" s="3" t="str">
        <f t="shared" si="1"/>
        <v>#NAME?</v>
      </c>
      <c r="I897" s="2" t="s">
        <v>4799</v>
      </c>
    </row>
    <row r="898">
      <c r="A898" s="1">
        <v>899.0</v>
      </c>
      <c r="B898" s="1" t="s">
        <v>4785</v>
      </c>
      <c r="C898" s="1" t="s">
        <v>4800</v>
      </c>
      <c r="E898" s="14" t="str">
        <f t="shared" si="2"/>
        <v>#NAME?</v>
      </c>
      <c r="F898" s="15" t="str">
        <f>IFERROR(__xludf.DUMMYFUNCTION("GOOGLETRANSLATE(D898,""zh-CN"", ""en"")"),"#VALUE!")</f>
        <v>#VALUE!</v>
      </c>
      <c r="G898" s="2" t="s">
        <v>4801</v>
      </c>
      <c r="H898" s="3" t="str">
        <f t="shared" si="1"/>
        <v>#NAME?</v>
      </c>
      <c r="I898" s="2" t="s">
        <v>4802</v>
      </c>
    </row>
    <row r="899">
      <c r="A899" s="1">
        <v>900.0</v>
      </c>
      <c r="B899" s="1" t="s">
        <v>4785</v>
      </c>
      <c r="C899" s="1" t="s">
        <v>4800</v>
      </c>
      <c r="E899" s="14" t="str">
        <f t="shared" si="2"/>
        <v>#NAME?</v>
      </c>
      <c r="F899" s="15" t="str">
        <f>IFERROR(__xludf.DUMMYFUNCTION("GOOGLETRANSLATE(D899,""zh-CN"", ""en"")"),"#VALUE!")</f>
        <v>#VALUE!</v>
      </c>
      <c r="G899" s="2" t="s">
        <v>4803</v>
      </c>
      <c r="H899" s="3" t="str">
        <f t="shared" si="1"/>
        <v>#NAME?</v>
      </c>
      <c r="I899" s="2" t="s">
        <v>4804</v>
      </c>
    </row>
    <row r="900">
      <c r="A900" s="1">
        <v>901.0</v>
      </c>
      <c r="B900" s="1" t="s">
        <v>4805</v>
      </c>
      <c r="C900" s="1" t="s">
        <v>4806</v>
      </c>
      <c r="D900" s="1" t="s">
        <v>4807</v>
      </c>
      <c r="E900" s="14" t="str">
        <f t="shared" si="2"/>
        <v>#NAME?</v>
      </c>
      <c r="F900" s="15" t="str">
        <f>IFERROR(__xludf.DUMMYFUNCTION("GOOGLETRANSLATE(D900,""zh-CN"", ""en"")"),"One side * one side *")</f>
        <v>One side * one side *</v>
      </c>
      <c r="G900" s="2" t="s">
        <v>4808</v>
      </c>
      <c r="H900" s="3" t="str">
        <f t="shared" si="1"/>
        <v>#NAME?</v>
      </c>
      <c r="I900" s="2" t="s">
        <v>4809</v>
      </c>
    </row>
    <row r="901">
      <c r="A901" s="1">
        <v>902.0</v>
      </c>
      <c r="B901" s="1" t="s">
        <v>4805</v>
      </c>
      <c r="C901" s="1" t="s">
        <v>4806</v>
      </c>
      <c r="D901" s="1" t="s">
        <v>4807</v>
      </c>
      <c r="E901" s="14" t="str">
        <f t="shared" si="2"/>
        <v>#NAME?</v>
      </c>
      <c r="F901" s="15" t="str">
        <f>IFERROR(__xludf.DUMMYFUNCTION("GOOGLETRANSLATE(D901,""zh-CN"", ""en"")"),"One side * one side *")</f>
        <v>One side * one side *</v>
      </c>
      <c r="G901" s="2" t="s">
        <v>4810</v>
      </c>
      <c r="H901" s="3" t="str">
        <f t="shared" si="1"/>
        <v>#NAME?</v>
      </c>
      <c r="I901" s="2" t="s">
        <v>4811</v>
      </c>
    </row>
    <row r="902">
      <c r="A902" s="1">
        <v>903.0</v>
      </c>
      <c r="B902" s="1" t="s">
        <v>4812</v>
      </c>
      <c r="C902" s="1" t="s">
        <v>4813</v>
      </c>
      <c r="D902" s="1" t="s">
        <v>4814</v>
      </c>
      <c r="E902" s="14" t="str">
        <f t="shared" si="2"/>
        <v>#NAME?</v>
      </c>
      <c r="F902" s="15" t="str">
        <f>IFERROR(__xludf.DUMMYFUNCTION("GOOGLETRANSLATE(D902,""zh-CN"", ""en"")"),"After that")</f>
        <v>After that</v>
      </c>
      <c r="G902" s="2" t="s">
        <v>4815</v>
      </c>
      <c r="H902" s="3" t="str">
        <f t="shared" si="1"/>
        <v>#NAME?</v>
      </c>
      <c r="I902" s="2" t="s">
        <v>4816</v>
      </c>
    </row>
    <row r="903">
      <c r="A903" s="1">
        <v>904.0</v>
      </c>
      <c r="B903" s="1" t="s">
        <v>4812</v>
      </c>
      <c r="C903" s="1" t="s">
        <v>4813</v>
      </c>
      <c r="D903" s="1" t="s">
        <v>4814</v>
      </c>
      <c r="E903" s="14" t="str">
        <f t="shared" si="2"/>
        <v>#NAME?</v>
      </c>
      <c r="F903" s="15" t="str">
        <f>IFERROR(__xludf.DUMMYFUNCTION("GOOGLETRANSLATE(D903,""zh-CN"", ""en"")"),"After that")</f>
        <v>After that</v>
      </c>
      <c r="G903" s="2" t="s">
        <v>4817</v>
      </c>
      <c r="H903" s="3" t="str">
        <f t="shared" si="1"/>
        <v>#NAME?</v>
      </c>
      <c r="I903" s="2" t="s">
        <v>4818</v>
      </c>
    </row>
    <row r="904">
      <c r="A904" s="1">
        <v>905.0</v>
      </c>
      <c r="B904" s="1" t="s">
        <v>4819</v>
      </c>
      <c r="C904" s="1" t="s">
        <v>4820</v>
      </c>
      <c r="D904" s="1" t="s">
        <v>4821</v>
      </c>
      <c r="E904" s="14" t="str">
        <f t="shared" si="2"/>
        <v>#NAME?</v>
      </c>
      <c r="F904" s="15" t="str">
        <f>IFERROR(__xludf.DUMMYFUNCTION("GOOGLETRANSLATE(D904,""zh-CN"", ""en"")"),"at first")</f>
        <v>at first</v>
      </c>
      <c r="G904" s="2" t="s">
        <v>4822</v>
      </c>
      <c r="H904" s="3" t="str">
        <f t="shared" si="1"/>
        <v>#NAME?</v>
      </c>
      <c r="I904" s="2" t="s">
        <v>4823</v>
      </c>
    </row>
    <row r="905">
      <c r="A905" s="1">
        <v>906.0</v>
      </c>
      <c r="B905" s="1" t="s">
        <v>4819</v>
      </c>
      <c r="C905" s="1" t="s">
        <v>4820</v>
      </c>
      <c r="D905" s="1" t="s">
        <v>4821</v>
      </c>
      <c r="E905" s="14" t="str">
        <f t="shared" si="2"/>
        <v>#NAME?</v>
      </c>
      <c r="F905" s="15" t="str">
        <f>IFERROR(__xludf.DUMMYFUNCTION("GOOGLETRANSLATE(D905,""zh-CN"", ""en"")"),"at first")</f>
        <v>at first</v>
      </c>
      <c r="G905" s="2" t="s">
        <v>4824</v>
      </c>
      <c r="H905" s="3" t="str">
        <f t="shared" si="1"/>
        <v>#NAME?</v>
      </c>
      <c r="I905" s="2" t="s">
        <v>4825</v>
      </c>
    </row>
    <row r="906">
      <c r="A906" s="1">
        <v>907.0</v>
      </c>
      <c r="B906" s="1" t="s">
        <v>4826</v>
      </c>
      <c r="C906" s="1" t="s">
        <v>4827</v>
      </c>
      <c r="D906" s="1" t="s">
        <v>4828</v>
      </c>
      <c r="E906" s="14" t="str">
        <f t="shared" si="2"/>
        <v>#NAME?</v>
      </c>
      <c r="F906" s="15" t="str">
        <f>IFERROR(__xludf.DUMMYFUNCTION("GOOGLETRANSLATE(D906,""zh-CN"", ""en"")"),"Don't even mention it.")</f>
        <v>Don't even mention it.</v>
      </c>
      <c r="G906" s="2" t="s">
        <v>4829</v>
      </c>
      <c r="H906" s="3" t="str">
        <f t="shared" si="1"/>
        <v>#NAME?</v>
      </c>
      <c r="I906" s="2" t="s">
        <v>4830</v>
      </c>
    </row>
    <row r="907">
      <c r="A907" s="1">
        <v>908.0</v>
      </c>
      <c r="B907" s="1" t="s">
        <v>4826</v>
      </c>
      <c r="C907" s="1" t="s">
        <v>4827</v>
      </c>
      <c r="D907" s="1" t="s">
        <v>4831</v>
      </c>
      <c r="E907" s="14" t="str">
        <f t="shared" si="2"/>
        <v>#NAME?</v>
      </c>
      <c r="F907" s="15" t="str">
        <f>IFERROR(__xludf.DUMMYFUNCTION("GOOGLETRANSLATE(D907,""zh-CN"", ""en"")"),"Let's not even talk about it.")</f>
        <v>Let's not even talk about it.</v>
      </c>
      <c r="G907" s="2" t="s">
        <v>4832</v>
      </c>
      <c r="H907" s="3" t="str">
        <f t="shared" si="1"/>
        <v>#NAME?</v>
      </c>
      <c r="I907" s="2" t="s">
        <v>4833</v>
      </c>
    </row>
    <row r="908">
      <c r="A908" s="1">
        <v>909.0</v>
      </c>
      <c r="B908" s="1" t="s">
        <v>4826</v>
      </c>
      <c r="C908" s="1" t="s">
        <v>4827</v>
      </c>
      <c r="D908" s="1" t="s">
        <v>4834</v>
      </c>
      <c r="E908" s="14" t="str">
        <f t="shared" si="2"/>
        <v>#NAME?</v>
      </c>
      <c r="F908" s="15" t="str">
        <f>IFERROR(__xludf.DUMMYFUNCTION("GOOGLETRANSLATE(D908,""zh-CN"", ""en"")"),"Don't say *even*")</f>
        <v>Don't say *even*</v>
      </c>
      <c r="G908" s="2" t="s">
        <v>4835</v>
      </c>
      <c r="H908" s="3" t="str">
        <f t="shared" si="1"/>
        <v>#NAME?</v>
      </c>
      <c r="I908" s="2" t="s">
        <v>4836</v>
      </c>
    </row>
    <row r="909">
      <c r="A909" s="1">
        <v>910.0</v>
      </c>
      <c r="B909" s="1" t="s">
        <v>4826</v>
      </c>
      <c r="C909" s="1" t="s">
        <v>4827</v>
      </c>
      <c r="D909" s="1" t="s">
        <v>4837</v>
      </c>
      <c r="E909" s="14" t="str">
        <f t="shared" si="2"/>
        <v>#NAME?</v>
      </c>
      <c r="F909" s="15" t="str">
        <f>IFERROR(__xludf.DUMMYFUNCTION("GOOGLETRANSLATE(D909,""zh-CN"", ""en"")"),"Even *not to mention*")</f>
        <v>Even *not to mention*</v>
      </c>
      <c r="G909" s="2" t="s">
        <v>4838</v>
      </c>
      <c r="H909" s="3" t="str">
        <f t="shared" si="1"/>
        <v>#NAME?</v>
      </c>
      <c r="I909" s="2" t="s">
        <v>4839</v>
      </c>
    </row>
    <row r="910">
      <c r="A910" s="1">
        <v>911.0</v>
      </c>
      <c r="B910" s="1" t="s">
        <v>4840</v>
      </c>
      <c r="C910" s="1" t="s">
        <v>4841</v>
      </c>
      <c r="D910" s="1" t="s">
        <v>4842</v>
      </c>
      <c r="E910" s="14" t="str">
        <f t="shared" si="2"/>
        <v>#NAME?</v>
      </c>
      <c r="F910" s="15" t="str">
        <f>IFERROR(__xludf.DUMMYFUNCTION("GOOGLETRANSLATE(D910,""zh-CN"", ""en"")"),"Moreover")</f>
        <v>Moreover</v>
      </c>
      <c r="G910" s="2" t="s">
        <v>4843</v>
      </c>
      <c r="H910" s="3" t="str">
        <f t="shared" si="1"/>
        <v>#NAME?</v>
      </c>
      <c r="I910" s="2" t="s">
        <v>4844</v>
      </c>
    </row>
    <row r="911">
      <c r="A911" s="1">
        <v>912.0</v>
      </c>
      <c r="B911" s="1" t="s">
        <v>4840</v>
      </c>
      <c r="C911" s="1" t="s">
        <v>4841</v>
      </c>
      <c r="D911" s="1" t="s">
        <v>4842</v>
      </c>
      <c r="E911" s="14" t="str">
        <f t="shared" si="2"/>
        <v>#NAME?</v>
      </c>
      <c r="F911" s="15" t="str">
        <f>IFERROR(__xludf.DUMMYFUNCTION("GOOGLETRANSLATE(D911,""zh-CN"", ""en"")"),"Moreover")</f>
        <v>Moreover</v>
      </c>
      <c r="G911" s="2" t="s">
        <v>4831</v>
      </c>
      <c r="H911" s="3" t="str">
        <f t="shared" si="1"/>
        <v>#NAME?</v>
      </c>
      <c r="I911" s="2" t="s">
        <v>4845</v>
      </c>
    </row>
    <row r="912">
      <c r="A912" s="1">
        <v>913.0</v>
      </c>
      <c r="B912" s="1" t="s">
        <v>4846</v>
      </c>
      <c r="C912" s="1" t="s">
        <v>4847</v>
      </c>
      <c r="D912" s="1" t="s">
        <v>3837</v>
      </c>
      <c r="E912" s="14" t="str">
        <f t="shared" si="2"/>
        <v>#NAME?</v>
      </c>
      <c r="F912" s="15" t="str">
        <f>IFERROR(__xludf.DUMMYFUNCTION("GOOGLETRANSLATE(D912,""zh-CN"", ""en"")"),"and then")</f>
        <v>and then</v>
      </c>
      <c r="G912" s="2" t="s">
        <v>4848</v>
      </c>
      <c r="H912" s="3" t="str">
        <f t="shared" si="1"/>
        <v>#NAME?</v>
      </c>
      <c r="I912" s="2" t="s">
        <v>4849</v>
      </c>
    </row>
    <row r="913">
      <c r="A913" s="1">
        <v>914.0</v>
      </c>
      <c r="B913" s="1" t="s">
        <v>4846</v>
      </c>
      <c r="C913" s="1" t="s">
        <v>4847</v>
      </c>
      <c r="D913" s="1" t="s">
        <v>3837</v>
      </c>
      <c r="E913" s="14" t="str">
        <f t="shared" si="2"/>
        <v>#NAME?</v>
      </c>
      <c r="F913" s="15" t="str">
        <f>IFERROR(__xludf.DUMMYFUNCTION("GOOGLETRANSLATE(D913,""zh-CN"", ""en"")"),"and then")</f>
        <v>and then</v>
      </c>
      <c r="G913" s="2" t="s">
        <v>4850</v>
      </c>
      <c r="H913" s="3" t="str">
        <f t="shared" si="1"/>
        <v>#NAME?</v>
      </c>
      <c r="I913" s="2" t="s">
        <v>4851</v>
      </c>
    </row>
    <row r="914">
      <c r="A914" s="1">
        <v>915.0</v>
      </c>
      <c r="B914" s="1" t="s">
        <v>4852</v>
      </c>
      <c r="C914" s="1" t="s">
        <v>4853</v>
      </c>
      <c r="D914" s="1" t="s">
        <v>3863</v>
      </c>
      <c r="E914" s="14" t="str">
        <f t="shared" si="2"/>
        <v>#NAME?</v>
      </c>
      <c r="F914" s="15" t="str">
        <f>IFERROR(__xludf.DUMMYFUNCTION("GOOGLETRANSLATE(D914,""zh-CN"", ""en"")"),"Moreover")</f>
        <v>Moreover</v>
      </c>
      <c r="G914" s="2" t="s">
        <v>4854</v>
      </c>
      <c r="H914" s="3" t="str">
        <f t="shared" si="1"/>
        <v>#NAME?</v>
      </c>
      <c r="I914" s="2" t="s">
        <v>4855</v>
      </c>
    </row>
    <row r="915">
      <c r="A915" s="1">
        <v>916.0</v>
      </c>
      <c r="B915" s="1" t="s">
        <v>4852</v>
      </c>
      <c r="C915" s="1" t="s">
        <v>4853</v>
      </c>
      <c r="D915" s="1" t="s">
        <v>3863</v>
      </c>
      <c r="E915" s="14" t="str">
        <f t="shared" si="2"/>
        <v>#NAME?</v>
      </c>
      <c r="F915" s="15" t="str">
        <f>IFERROR(__xludf.DUMMYFUNCTION("GOOGLETRANSLATE(D915,""zh-CN"", ""en"")"),"Moreover")</f>
        <v>Moreover</v>
      </c>
      <c r="G915" s="2" t="s">
        <v>4856</v>
      </c>
      <c r="H915" s="3" t="str">
        <f t="shared" si="1"/>
        <v>#NAME?</v>
      </c>
      <c r="I915" s="2" t="s">
        <v>4857</v>
      </c>
    </row>
    <row r="916">
      <c r="A916" s="1">
        <v>917.0</v>
      </c>
      <c r="B916" s="1" t="s">
        <v>4858</v>
      </c>
      <c r="C916" s="1" t="s">
        <v>4859</v>
      </c>
      <c r="D916" s="1" t="s">
        <v>4860</v>
      </c>
      <c r="E916" s="14" t="str">
        <f t="shared" si="2"/>
        <v>#NAME?</v>
      </c>
      <c r="F916" s="15" t="str">
        <f>IFERROR(__xludf.DUMMYFUNCTION("GOOGLETRANSLATE(D916,""zh-CN"", ""en"")"),"Not to mention")</f>
        <v>Not to mention</v>
      </c>
      <c r="G916" s="2" t="s">
        <v>4861</v>
      </c>
      <c r="H916" s="3" t="str">
        <f t="shared" si="1"/>
        <v>#NAME?</v>
      </c>
      <c r="I916" s="2" t="s">
        <v>4862</v>
      </c>
    </row>
    <row r="917">
      <c r="A917" s="1">
        <v>918.0</v>
      </c>
      <c r="B917" s="1" t="s">
        <v>4858</v>
      </c>
      <c r="C917" s="1" t="s">
        <v>4859</v>
      </c>
      <c r="D917" s="1" t="s">
        <v>4860</v>
      </c>
      <c r="E917" s="14" t="str">
        <f t="shared" si="2"/>
        <v>#NAME?</v>
      </c>
      <c r="F917" s="15" t="str">
        <f>IFERROR(__xludf.DUMMYFUNCTION("GOOGLETRANSLATE(D917,""zh-CN"", ""en"")"),"Not to mention")</f>
        <v>Not to mention</v>
      </c>
      <c r="G917" s="2" t="s">
        <v>4863</v>
      </c>
      <c r="H917" s="3" t="str">
        <f t="shared" si="1"/>
        <v>#NAME?</v>
      </c>
      <c r="I917" s="2" t="s">
        <v>4864</v>
      </c>
    </row>
    <row r="918">
      <c r="A918" s="1">
        <v>919.0</v>
      </c>
      <c r="B918" s="1" t="s">
        <v>4858</v>
      </c>
      <c r="C918" s="1" t="s">
        <v>4859</v>
      </c>
      <c r="D918" s="1" t="s">
        <v>4860</v>
      </c>
      <c r="E918" s="14" t="str">
        <f t="shared" si="2"/>
        <v>#NAME?</v>
      </c>
      <c r="F918" s="15" t="str">
        <f>IFERROR(__xludf.DUMMYFUNCTION("GOOGLETRANSLATE(D918,""zh-CN"", ""en"")"),"Not to mention")</f>
        <v>Not to mention</v>
      </c>
      <c r="G918" s="2" t="s">
        <v>4865</v>
      </c>
      <c r="H918" s="3" t="str">
        <f t="shared" si="1"/>
        <v>#NAME?</v>
      </c>
      <c r="I918" s="2" t="s">
        <v>4866</v>
      </c>
    </row>
    <row r="919">
      <c r="A919" s="1">
        <v>920.0</v>
      </c>
      <c r="B919" s="1" t="s">
        <v>4867</v>
      </c>
      <c r="C919" s="1" t="s">
        <v>4868</v>
      </c>
      <c r="D919" s="1" t="s">
        <v>4869</v>
      </c>
      <c r="E919" s="14" t="str">
        <f t="shared" si="2"/>
        <v>#NAME?</v>
      </c>
      <c r="F919" s="15" t="str">
        <f>IFERROR(__xludf.DUMMYFUNCTION("GOOGLETRANSLATE(D919,""zh-CN"", ""en"")"),"and even")</f>
        <v>and even</v>
      </c>
      <c r="G919" s="2" t="s">
        <v>4870</v>
      </c>
      <c r="H919" s="3" t="str">
        <f t="shared" si="1"/>
        <v>#NAME?</v>
      </c>
      <c r="I919" s="2" t="s">
        <v>4871</v>
      </c>
    </row>
    <row r="920">
      <c r="A920" s="1">
        <v>921.0</v>
      </c>
      <c r="B920" s="1" t="s">
        <v>4867</v>
      </c>
      <c r="C920" s="1" t="s">
        <v>4868</v>
      </c>
      <c r="D920" s="1" t="s">
        <v>4869</v>
      </c>
      <c r="E920" s="14" t="str">
        <f t="shared" si="2"/>
        <v>#NAME?</v>
      </c>
      <c r="F920" s="15" t="str">
        <f>IFERROR(__xludf.DUMMYFUNCTION("GOOGLETRANSLATE(D920,""zh-CN"", ""en"")"),"and even")</f>
        <v>and even</v>
      </c>
      <c r="G920" s="2" t="s">
        <v>4872</v>
      </c>
      <c r="H920" s="3" t="str">
        <f t="shared" si="1"/>
        <v>#NAME?</v>
      </c>
      <c r="I920" s="2" t="s">
        <v>4873</v>
      </c>
    </row>
    <row r="921">
      <c r="A921" s="1">
        <v>922.0</v>
      </c>
      <c r="B921" s="1" t="s">
        <v>4874</v>
      </c>
      <c r="C921" s="1" t="s">
        <v>4875</v>
      </c>
      <c r="D921" s="1" t="s">
        <v>4876</v>
      </c>
      <c r="E921" s="14" t="str">
        <f t="shared" si="2"/>
        <v>#NAME?</v>
      </c>
      <c r="F921" s="15" t="str">
        <f>IFERROR(__xludf.DUMMYFUNCTION("GOOGLETRANSLATE(D921,""zh-CN"", ""en"")"),"and")</f>
        <v>and</v>
      </c>
      <c r="G921" s="2" t="s">
        <v>4877</v>
      </c>
      <c r="H921" s="3" t="str">
        <f t="shared" si="1"/>
        <v>#NAME?</v>
      </c>
      <c r="I921" s="2" t="s">
        <v>4878</v>
      </c>
    </row>
    <row r="922">
      <c r="A922" s="1">
        <v>923.0</v>
      </c>
      <c r="B922" s="1" t="s">
        <v>4874</v>
      </c>
      <c r="C922" s="1" t="s">
        <v>4875</v>
      </c>
      <c r="D922" s="1" t="s">
        <v>4876</v>
      </c>
      <c r="E922" s="14" t="str">
        <f t="shared" si="2"/>
        <v>#NAME?</v>
      </c>
      <c r="F922" s="15" t="str">
        <f>IFERROR(__xludf.DUMMYFUNCTION("GOOGLETRANSLATE(D922,""zh-CN"", ""en"")"),"and")</f>
        <v>and</v>
      </c>
      <c r="G922" s="2" t="s">
        <v>4879</v>
      </c>
      <c r="H922" s="3" t="str">
        <f t="shared" si="1"/>
        <v>#NAME?</v>
      </c>
      <c r="I922" s="2" t="s">
        <v>4880</v>
      </c>
    </row>
    <row r="923">
      <c r="A923" s="1">
        <v>924.0</v>
      </c>
      <c r="B923" s="1" t="s">
        <v>4881</v>
      </c>
      <c r="C923" s="1" t="s">
        <v>4882</v>
      </c>
      <c r="D923" s="1" t="s">
        <v>4883</v>
      </c>
      <c r="E923" s="14" t="str">
        <f t="shared" si="2"/>
        <v>#NAME?</v>
      </c>
      <c r="F923" s="15" t="str">
        <f>IFERROR(__xludf.DUMMYFUNCTION("GOOGLETRANSLATE(D923,""zh-CN"", ""en"")"),"even")</f>
        <v>even</v>
      </c>
      <c r="G923" s="2" t="s">
        <v>4884</v>
      </c>
      <c r="H923" s="3" t="str">
        <f t="shared" si="1"/>
        <v>#NAME?</v>
      </c>
      <c r="I923" s="2" t="s">
        <v>4885</v>
      </c>
    </row>
    <row r="924">
      <c r="A924" s="1">
        <v>925.0</v>
      </c>
      <c r="B924" s="1" t="s">
        <v>4881</v>
      </c>
      <c r="C924" s="1" t="s">
        <v>4882</v>
      </c>
      <c r="D924" s="1" t="s">
        <v>4883</v>
      </c>
      <c r="E924" s="14" t="str">
        <f t="shared" si="2"/>
        <v>#NAME?</v>
      </c>
      <c r="F924" s="15" t="str">
        <f>IFERROR(__xludf.DUMMYFUNCTION("GOOGLETRANSLATE(D924,""zh-CN"", ""en"")"),"even")</f>
        <v>even</v>
      </c>
      <c r="G924" s="2" t="s">
        <v>4886</v>
      </c>
      <c r="H924" s="3" t="str">
        <f t="shared" si="1"/>
        <v>#NAME?</v>
      </c>
      <c r="I924" s="2" t="s">
        <v>4887</v>
      </c>
    </row>
    <row r="925">
      <c r="A925" s="1">
        <v>926.0</v>
      </c>
      <c r="B925" s="1" t="s">
        <v>4888</v>
      </c>
      <c r="C925" s="1" t="s">
        <v>4889</v>
      </c>
      <c r="D925" s="1" t="s">
        <v>4890</v>
      </c>
      <c r="E925" s="14" t="str">
        <f t="shared" si="2"/>
        <v>#NAME?</v>
      </c>
      <c r="F925" s="15" t="str">
        <f>IFERROR(__xludf.DUMMYFUNCTION("GOOGLETRANSLATE(D925,""zh-CN"", ""en"")"),"or* or*")</f>
        <v>or* or*</v>
      </c>
      <c r="G925" s="2" t="s">
        <v>4891</v>
      </c>
      <c r="H925" s="3" t="str">
        <f t="shared" si="1"/>
        <v>#NAME?</v>
      </c>
      <c r="I925" s="2" t="s">
        <v>4892</v>
      </c>
    </row>
    <row r="926">
      <c r="A926" s="1">
        <v>927.0</v>
      </c>
      <c r="B926" s="1" t="s">
        <v>4888</v>
      </c>
      <c r="C926" s="1" t="s">
        <v>4889</v>
      </c>
      <c r="D926" s="1" t="s">
        <v>4890</v>
      </c>
      <c r="E926" s="14" t="str">
        <f t="shared" si="2"/>
        <v>#NAME?</v>
      </c>
      <c r="F926" s="15" t="str">
        <f>IFERROR(__xludf.DUMMYFUNCTION("GOOGLETRANSLATE(D926,""zh-CN"", ""en"")"),"or* or*")</f>
        <v>or* or*</v>
      </c>
      <c r="G926" s="2" t="s">
        <v>4893</v>
      </c>
      <c r="H926" s="3" t="str">
        <f t="shared" si="1"/>
        <v>#NAME?</v>
      </c>
      <c r="I926" s="2" t="s">
        <v>4894</v>
      </c>
    </row>
    <row r="927">
      <c r="A927" s="1">
        <v>928.0</v>
      </c>
      <c r="B927" s="1" t="s">
        <v>4895</v>
      </c>
      <c r="C927" s="1" t="s">
        <v>4896</v>
      </c>
      <c r="D927" s="1" t="s">
        <v>4897</v>
      </c>
      <c r="E927" s="14" t="str">
        <f t="shared" si="2"/>
        <v>#NAME?</v>
      </c>
      <c r="F927" s="15" t="str">
        <f>IFERROR(__xludf.DUMMYFUNCTION("GOOGLETRANSLATE(D927,""zh-CN"", ""en"")"),"I'd rather *")</f>
        <v>I'd rather *</v>
      </c>
      <c r="G927" s="2" t="s">
        <v>4898</v>
      </c>
      <c r="H927" s="3" t="str">
        <f t="shared" si="1"/>
        <v>#NAME?</v>
      </c>
      <c r="I927" s="2" t="s">
        <v>4899</v>
      </c>
    </row>
    <row r="928">
      <c r="A928" s="1">
        <v>929.0</v>
      </c>
      <c r="B928" s="1" t="s">
        <v>4895</v>
      </c>
      <c r="C928" s="1" t="s">
        <v>4896</v>
      </c>
      <c r="D928" s="1" t="s">
        <v>4900</v>
      </c>
      <c r="E928" s="14" t="str">
        <f t="shared" si="2"/>
        <v>#NAME?</v>
      </c>
      <c r="F928" s="15" t="str">
        <f>IFERROR(__xludf.DUMMYFUNCTION("GOOGLETRANSLATE(D928,""zh-CN"", ""en"")"),"I'd rather *thank*")</f>
        <v>I'd rather *thank*</v>
      </c>
      <c r="G928" s="2" t="s">
        <v>4901</v>
      </c>
      <c r="H928" s="3" t="str">
        <f t="shared" si="1"/>
        <v>#NAME?</v>
      </c>
      <c r="I928" s="2" t="s">
        <v>4902</v>
      </c>
    </row>
    <row r="929">
      <c r="A929" s="1">
        <v>930.0</v>
      </c>
      <c r="B929" s="1" t="s">
        <v>4903</v>
      </c>
      <c r="C929" s="1" t="s">
        <v>4904</v>
      </c>
      <c r="D929" s="1" t="s">
        <v>4905</v>
      </c>
      <c r="E929" s="14" t="str">
        <f t="shared" si="2"/>
        <v>#NAME?</v>
      </c>
      <c r="F929" s="15" t="str">
        <f>IFERROR(__xludf.DUMMYFUNCTION("GOOGLETRANSLATE(D929,""zh-CN"", ""en"")"),"Rather than *it is better to*")</f>
        <v>Rather than *it is better to*</v>
      </c>
      <c r="G929" s="2" t="s">
        <v>4906</v>
      </c>
      <c r="H929" s="3" t="str">
        <f t="shared" si="1"/>
        <v>#NAME?</v>
      </c>
      <c r="I929" s="2" t="s">
        <v>4907</v>
      </c>
    </row>
    <row r="930">
      <c r="A930" s="1">
        <v>931.0</v>
      </c>
      <c r="B930" s="1" t="s">
        <v>4903</v>
      </c>
      <c r="C930" s="1" t="s">
        <v>4904</v>
      </c>
      <c r="D930" s="1" t="s">
        <v>4905</v>
      </c>
      <c r="E930" s="14" t="str">
        <f t="shared" si="2"/>
        <v>#NAME?</v>
      </c>
      <c r="F930" s="15" t="str">
        <f>IFERROR(__xludf.DUMMYFUNCTION("GOOGLETRANSLATE(D930,""zh-CN"", ""en"")"),"Rather than *it is better to*")</f>
        <v>Rather than *it is better to*</v>
      </c>
      <c r="G930" s="2" t="s">
        <v>4908</v>
      </c>
      <c r="H930" s="3" t="str">
        <f t="shared" si="1"/>
        <v>#NAME?</v>
      </c>
      <c r="I930" s="2" t="s">
        <v>4909</v>
      </c>
    </row>
    <row r="931">
      <c r="A931" s="1">
        <v>932.0</v>
      </c>
      <c r="B931" s="1" t="s">
        <v>4910</v>
      </c>
      <c r="C931" s="1" t="s">
        <v>4911</v>
      </c>
      <c r="D931" s="1" t="s">
        <v>4912</v>
      </c>
      <c r="E931" s="14" t="str">
        <f t="shared" si="2"/>
        <v>#NAME?</v>
      </c>
      <c r="F931" s="15" t="str">
        <f>IFERROR(__xludf.DUMMYFUNCTION("GOOGLETRANSLATE(D931,""zh-CN"", ""en"")"),"Rather than *be better*")</f>
        <v>Rather than *be better*</v>
      </c>
      <c r="G931" s="2" t="s">
        <v>4913</v>
      </c>
      <c r="H931" s="3" t="str">
        <f t="shared" si="1"/>
        <v>#NAME?</v>
      </c>
      <c r="I931" s="2" t="s">
        <v>4914</v>
      </c>
    </row>
    <row r="932">
      <c r="A932" s="1">
        <v>933.0</v>
      </c>
      <c r="B932" s="1" t="s">
        <v>4910</v>
      </c>
      <c r="C932" s="1" t="s">
        <v>4911</v>
      </c>
      <c r="D932" s="1" t="s">
        <v>4915</v>
      </c>
      <c r="E932" s="14" t="str">
        <f t="shared" si="2"/>
        <v>#NAME?</v>
      </c>
      <c r="F932" s="15" t="str">
        <f>IFERROR(__xludf.DUMMYFUNCTION("GOOGLETRANSLATE(D932,""zh-CN"", ""en"")"),"Rather than *would*")</f>
        <v>Rather than *would*</v>
      </c>
      <c r="G932" s="2" t="s">
        <v>4916</v>
      </c>
      <c r="H932" s="3" t="str">
        <f t="shared" si="1"/>
        <v>#NAME?</v>
      </c>
      <c r="I932" s="2" t="s">
        <v>4917</v>
      </c>
    </row>
    <row r="933">
      <c r="A933" s="1">
        <v>934.0</v>
      </c>
      <c r="B933" s="1" t="s">
        <v>4918</v>
      </c>
      <c r="C933" s="1" t="s">
        <v>4919</v>
      </c>
      <c r="D933" s="1" t="s">
        <v>4920</v>
      </c>
      <c r="E933" s="14" t="str">
        <f t="shared" si="2"/>
        <v>#NAME?</v>
      </c>
      <c r="F933" s="15" t="str">
        <f>IFERROR(__xludf.DUMMYFUNCTION("GOOGLETRANSLATE(D933,""zh-CN"", ""en"")"),"But *but*")</f>
        <v>But *but*</v>
      </c>
      <c r="G933" s="2" t="s">
        <v>4921</v>
      </c>
      <c r="H933" s="3" t="str">
        <f t="shared" si="1"/>
        <v>#NAME?</v>
      </c>
      <c r="I933" s="2" t="s">
        <v>4922</v>
      </c>
    </row>
    <row r="934">
      <c r="A934" s="1">
        <v>935.0</v>
      </c>
      <c r="B934" s="1" t="s">
        <v>4918</v>
      </c>
      <c r="C934" s="1" t="s">
        <v>4919</v>
      </c>
      <c r="D934" s="1" t="s">
        <v>4923</v>
      </c>
      <c r="E934" s="14" t="str">
        <f t="shared" si="2"/>
        <v>#NAME?</v>
      </c>
      <c r="F934" s="15" t="str">
        <f>IFERROR(__xludf.DUMMYFUNCTION("GOOGLETRANSLATE(D934,""zh-CN"", ""en"")"),"And *then*")</f>
        <v>And *then*</v>
      </c>
      <c r="G934" s="2" t="s">
        <v>4924</v>
      </c>
      <c r="H934" s="3" t="str">
        <f t="shared" si="1"/>
        <v>#NAME?</v>
      </c>
      <c r="I934" s="2" t="s">
        <v>4925</v>
      </c>
    </row>
    <row r="935">
      <c r="A935" s="1">
        <v>936.0</v>
      </c>
      <c r="B935" s="1" t="s">
        <v>4926</v>
      </c>
      <c r="C935" s="1" t="s">
        <v>4927</v>
      </c>
      <c r="D935" s="1" t="s">
        <v>4928</v>
      </c>
      <c r="E935" s="14" t="str">
        <f t="shared" si="2"/>
        <v>#NAME?</v>
      </c>
      <c r="F935" s="15" t="str">
        <f>IFERROR(__xludf.DUMMYFUNCTION("GOOGLETRANSLATE(D935,""zh-CN"", ""en"")"),"Reverse")</f>
        <v>Reverse</v>
      </c>
      <c r="G935" s="2" t="s">
        <v>4929</v>
      </c>
      <c r="H935" s="3" t="str">
        <f t="shared" si="1"/>
        <v>#NAME?</v>
      </c>
      <c r="I935" s="2" t="s">
        <v>4930</v>
      </c>
    </row>
    <row r="936">
      <c r="A936" s="1">
        <v>937.0</v>
      </c>
      <c r="B936" s="1" t="s">
        <v>4926</v>
      </c>
      <c r="C936" s="1" t="s">
        <v>4927</v>
      </c>
      <c r="D936" s="1" t="s">
        <v>4378</v>
      </c>
      <c r="E936" s="14" t="str">
        <f t="shared" si="2"/>
        <v>#NAME?</v>
      </c>
      <c r="F936" s="15" t="str">
        <f>IFERROR(__xludf.DUMMYFUNCTION("GOOGLETRANSLATE(D936,""zh-CN"", ""en"")"),"On the contrary")</f>
        <v>On the contrary</v>
      </c>
      <c r="G936" s="2" t="s">
        <v>4931</v>
      </c>
      <c r="H936" s="3" t="str">
        <f t="shared" si="1"/>
        <v>#NAME?</v>
      </c>
      <c r="I936" s="2" t="s">
        <v>4932</v>
      </c>
    </row>
    <row r="937">
      <c r="A937" s="1">
        <v>938.0</v>
      </c>
      <c r="B937" s="1" t="s">
        <v>4933</v>
      </c>
      <c r="C937" s="1" t="s">
        <v>4934</v>
      </c>
      <c r="D937" s="1" t="s">
        <v>4935</v>
      </c>
      <c r="E937" s="14" t="str">
        <f t="shared" si="2"/>
        <v>#NAME?</v>
      </c>
      <c r="F937" s="15" t="str">
        <f>IFERROR(__xludf.DUMMYFUNCTION("GOOGLETRANSLATE(D937,""zh-CN"", ""en"")"),"like")</f>
        <v>like</v>
      </c>
      <c r="G937" s="2" t="s">
        <v>4936</v>
      </c>
      <c r="H937" s="3" t="str">
        <f t="shared" si="1"/>
        <v>#NAME?</v>
      </c>
      <c r="I937" s="2" t="s">
        <v>4937</v>
      </c>
    </row>
    <row r="938">
      <c r="A938" s="1">
        <v>939.0</v>
      </c>
      <c r="B938" s="1" t="s">
        <v>4933</v>
      </c>
      <c r="C938" s="1" t="s">
        <v>4934</v>
      </c>
      <c r="D938" s="1" t="s">
        <v>4938</v>
      </c>
      <c r="E938" s="14" t="str">
        <f t="shared" si="2"/>
        <v>#NAME?</v>
      </c>
      <c r="F938" s="15" t="str">
        <f>IFERROR(__xludf.DUMMYFUNCTION("GOOGLETRANSLATE(D938,""zh-CN"", ""en"")"),"if")</f>
        <v>if</v>
      </c>
      <c r="G938" s="2" t="s">
        <v>4939</v>
      </c>
      <c r="H938" s="3" t="str">
        <f t="shared" si="1"/>
        <v>#NAME?</v>
      </c>
      <c r="I938" s="2" t="s">
        <v>4940</v>
      </c>
    </row>
    <row r="939">
      <c r="A939" s="1">
        <v>940.0</v>
      </c>
      <c r="B939" s="1" t="s">
        <v>4941</v>
      </c>
      <c r="C939" s="1" t="s">
        <v>4942</v>
      </c>
      <c r="D939" s="1" t="s">
        <v>4938</v>
      </c>
      <c r="E939" s="14" t="str">
        <f t="shared" si="2"/>
        <v>#NAME?</v>
      </c>
      <c r="F939" s="15" t="str">
        <f>IFERROR(__xludf.DUMMYFUNCTION("GOOGLETRANSLATE(D939,""zh-CN"", ""en"")"),"if")</f>
        <v>if</v>
      </c>
      <c r="G939" s="2" t="s">
        <v>4943</v>
      </c>
      <c r="H939" s="3" t="str">
        <f t="shared" si="1"/>
        <v>#NAME?</v>
      </c>
      <c r="I939" s="2" t="s">
        <v>4944</v>
      </c>
    </row>
    <row r="940">
      <c r="A940" s="1">
        <v>941.0</v>
      </c>
      <c r="B940" s="1" t="s">
        <v>4941</v>
      </c>
      <c r="C940" s="1" t="s">
        <v>4942</v>
      </c>
      <c r="D940" s="1" t="s">
        <v>3074</v>
      </c>
      <c r="E940" s="14" t="str">
        <f t="shared" si="2"/>
        <v>#NAME?</v>
      </c>
      <c r="F940" s="15" t="str">
        <f>IFERROR(__xludf.DUMMYFUNCTION("GOOGLETRANSLATE(D940,""zh-CN"", ""en"")"),"Assumption")</f>
        <v>Assumption</v>
      </c>
      <c r="G940" s="2" t="s">
        <v>4945</v>
      </c>
      <c r="H940" s="3" t="str">
        <f t="shared" si="1"/>
        <v>#NAME?</v>
      </c>
      <c r="I940" s="2" t="s">
        <v>4946</v>
      </c>
    </row>
    <row r="941">
      <c r="A941" s="1">
        <v>942.0</v>
      </c>
      <c r="B941" s="1" t="s">
        <v>4941</v>
      </c>
      <c r="C941" s="1" t="s">
        <v>4942</v>
      </c>
      <c r="D941" s="1" t="s">
        <v>4947</v>
      </c>
      <c r="E941" s="14" t="str">
        <f t="shared" si="2"/>
        <v>#NAME?</v>
      </c>
      <c r="F941" s="15" t="str">
        <f>IFERROR(__xludf.DUMMYFUNCTION("GOOGLETRANSLATE(D941,""zh-CN"", ""en"")"),"if")</f>
        <v>if</v>
      </c>
      <c r="G941" s="2" t="s">
        <v>4948</v>
      </c>
      <c r="H941" s="3" t="str">
        <f t="shared" si="1"/>
        <v>#NAME?</v>
      </c>
      <c r="I941" s="2" t="s">
        <v>4949</v>
      </c>
    </row>
    <row r="942">
      <c r="A942" s="1">
        <v>943.0</v>
      </c>
      <c r="B942" s="1" t="s">
        <v>4950</v>
      </c>
      <c r="C942" s="1" t="s">
        <v>4951</v>
      </c>
      <c r="D942" s="1" t="s">
        <v>4449</v>
      </c>
      <c r="E942" s="14" t="str">
        <f t="shared" si="2"/>
        <v>#NAME?</v>
      </c>
      <c r="F942" s="15" t="str">
        <f>IFERROR(__xludf.DUMMYFUNCTION("GOOGLETRANSLATE(D942,""zh-CN"", ""en"")"),"Fortunately")</f>
        <v>Fortunately</v>
      </c>
      <c r="G942" s="2" t="s">
        <v>4952</v>
      </c>
      <c r="H942" s="3" t="str">
        <f t="shared" si="1"/>
        <v>#NAME?</v>
      </c>
      <c r="I942" s="2" t="s">
        <v>4953</v>
      </c>
    </row>
    <row r="943">
      <c r="A943" s="1">
        <v>944.0</v>
      </c>
      <c r="B943" s="1" t="s">
        <v>4950</v>
      </c>
      <c r="C943" s="1" t="s">
        <v>4951</v>
      </c>
      <c r="D943" s="1" t="s">
        <v>1762</v>
      </c>
      <c r="E943" s="14" t="str">
        <f t="shared" si="2"/>
        <v>#NAME?</v>
      </c>
      <c r="F943" s="15" t="str">
        <f>IFERROR(__xludf.DUMMYFUNCTION("GOOGLETRANSLATE(D943,""zh-CN"", ""en"")"),"otherwise")</f>
        <v>otherwise</v>
      </c>
      <c r="G943" s="2" t="s">
        <v>4954</v>
      </c>
      <c r="H943" s="3" t="str">
        <f t="shared" si="1"/>
        <v>#NAME?</v>
      </c>
      <c r="I943" s="2" t="s">
        <v>4955</v>
      </c>
    </row>
    <row r="944">
      <c r="A944" s="1">
        <v>945.0</v>
      </c>
      <c r="B944" s="1" t="s">
        <v>4956</v>
      </c>
      <c r="C944" s="1" t="s">
        <v>4957</v>
      </c>
      <c r="D944" s="1" t="s">
        <v>4958</v>
      </c>
      <c r="E944" s="14" t="str">
        <f t="shared" si="2"/>
        <v>#NAME?</v>
      </c>
      <c r="F944" s="15" t="str">
        <f>IFERROR(__xludf.DUMMYFUNCTION("GOOGLETRANSLATE(D944,""zh-CN"", ""en"")"),"Never mind*")</f>
        <v>Never mind*</v>
      </c>
      <c r="G944" s="2" t="s">
        <v>4959</v>
      </c>
      <c r="H944" s="3" t="str">
        <f t="shared" si="1"/>
        <v>#NAME?</v>
      </c>
      <c r="I944" s="2" t="s">
        <v>4960</v>
      </c>
    </row>
    <row r="945">
      <c r="A945" s="1">
        <v>946.0</v>
      </c>
      <c r="B945" s="1" t="s">
        <v>4956</v>
      </c>
      <c r="C945" s="1" t="s">
        <v>4957</v>
      </c>
      <c r="D945" s="1" t="s">
        <v>4958</v>
      </c>
      <c r="E945" s="14" t="str">
        <f t="shared" si="2"/>
        <v>#NAME?</v>
      </c>
      <c r="F945" s="15" t="str">
        <f>IFERROR(__xludf.DUMMYFUNCTION("GOOGLETRANSLATE(D945,""zh-CN"", ""en"")"),"Never mind*")</f>
        <v>Never mind*</v>
      </c>
      <c r="G945" s="2" t="s">
        <v>4961</v>
      </c>
      <c r="H945" s="3" t="str">
        <f t="shared" si="1"/>
        <v>#NAME?</v>
      </c>
      <c r="I945" s="2" t="s">
        <v>4962</v>
      </c>
    </row>
    <row r="946">
      <c r="A946" s="1">
        <v>947.0</v>
      </c>
      <c r="B946" s="1" t="s">
        <v>4963</v>
      </c>
      <c r="C946" s="1" t="s">
        <v>4964</v>
      </c>
      <c r="D946" s="1" t="s">
        <v>4965</v>
      </c>
      <c r="E946" s="14" t="str">
        <f t="shared" si="2"/>
        <v>#NAME?</v>
      </c>
      <c r="F946" s="15" t="str">
        <f>IFERROR(__xludf.DUMMYFUNCTION("GOOGLETRANSLATE(D946,""zh-CN"", ""en"")"),"Let him")</f>
        <v>Let him</v>
      </c>
      <c r="G946" s="2" t="s">
        <v>4966</v>
      </c>
      <c r="H946" s="3" t="str">
        <f t="shared" si="1"/>
        <v>#NAME?</v>
      </c>
      <c r="I946" s="2" t="s">
        <v>4967</v>
      </c>
    </row>
    <row r="947">
      <c r="A947" s="1">
        <v>948.0</v>
      </c>
      <c r="B947" s="1" t="s">
        <v>4963</v>
      </c>
      <c r="C947" s="1" t="s">
        <v>4964</v>
      </c>
      <c r="D947" s="1" t="s">
        <v>4968</v>
      </c>
      <c r="E947" s="14" t="str">
        <f t="shared" si="2"/>
        <v>#NAME?</v>
      </c>
      <c r="F947" s="15" t="str">
        <f>IFERROR(__xludf.DUMMYFUNCTION("GOOGLETRANSLATE(D947,""zh-CN"", ""en"")"),"Let you")</f>
        <v>Let you</v>
      </c>
      <c r="G947" s="2" t="s">
        <v>4969</v>
      </c>
      <c r="H947" s="3" t="str">
        <f t="shared" si="1"/>
        <v>#NAME?</v>
      </c>
      <c r="I947" s="2" t="s">
        <v>4970</v>
      </c>
    </row>
    <row r="948">
      <c r="A948" s="1">
        <v>949.0</v>
      </c>
      <c r="B948" s="1" t="s">
        <v>4971</v>
      </c>
      <c r="C948" s="1" t="s">
        <v>4972</v>
      </c>
      <c r="D948" s="1" t="s">
        <v>4973</v>
      </c>
      <c r="E948" s="14" t="str">
        <f t="shared" si="2"/>
        <v>#NAME?</v>
      </c>
      <c r="F948" s="15" t="str">
        <f>IFERROR(__xludf.DUMMYFUNCTION("GOOGLETRANSLATE(D948,""zh-CN"", ""en"")"),"Therefore not")</f>
        <v>Therefore not</v>
      </c>
      <c r="G948" s="2" t="s">
        <v>4974</v>
      </c>
      <c r="H948" s="3" t="str">
        <f t="shared" si="1"/>
        <v>#NAME?</v>
      </c>
      <c r="I948" s="2" t="s">
        <v>4975</v>
      </c>
    </row>
    <row r="949">
      <c r="A949" s="1">
        <v>950.0</v>
      </c>
      <c r="B949" s="1" t="s">
        <v>4971</v>
      </c>
      <c r="C949" s="1" t="s">
        <v>4972</v>
      </c>
      <c r="D949" s="1" t="s">
        <v>4976</v>
      </c>
      <c r="E949" s="14" t="str">
        <f t="shared" si="2"/>
        <v>#NAME?</v>
      </c>
      <c r="F949" s="15" t="str">
        <f>IFERROR(__xludf.DUMMYFUNCTION("GOOGLETRANSLATE(D949,""zh-CN"", ""en"")"),"Therefore")</f>
        <v>Therefore</v>
      </c>
      <c r="G949" s="2" t="s">
        <v>4977</v>
      </c>
      <c r="H949" s="3" t="str">
        <f t="shared" si="1"/>
        <v>#NAME?</v>
      </c>
      <c r="I949" s="2" t="s">
        <v>4978</v>
      </c>
    </row>
    <row r="950">
      <c r="A950" s="1">
        <v>951.0</v>
      </c>
      <c r="B950" s="1" t="s">
        <v>4979</v>
      </c>
      <c r="C950" s="1" t="s">
        <v>4980</v>
      </c>
      <c r="D950" s="1" t="s">
        <v>3698</v>
      </c>
      <c r="E950" s="14" t="str">
        <f t="shared" si="2"/>
        <v>#NAME?</v>
      </c>
      <c r="F950" s="15" t="str">
        <f>IFERROR(__xludf.DUMMYFUNCTION("GOOGLETRANSLATE(D950,""zh-CN"", ""en"")"),"Given")</f>
        <v>Given</v>
      </c>
      <c r="G950" s="2" t="s">
        <v>4981</v>
      </c>
      <c r="H950" s="3" t="str">
        <f t="shared" si="1"/>
        <v>#NAME?</v>
      </c>
      <c r="I950" s="2" t="s">
        <v>4982</v>
      </c>
    </row>
    <row r="951">
      <c r="A951" s="1">
        <v>952.0</v>
      </c>
      <c r="B951" s="1" t="s">
        <v>4979</v>
      </c>
      <c r="C951" s="1" t="s">
        <v>4980</v>
      </c>
      <c r="D951" s="1" t="s">
        <v>3698</v>
      </c>
      <c r="E951" s="14" t="str">
        <f t="shared" si="2"/>
        <v>#NAME?</v>
      </c>
      <c r="F951" s="15" t="str">
        <f>IFERROR(__xludf.DUMMYFUNCTION("GOOGLETRANSLATE(D951,""zh-CN"", ""en"")"),"Given")</f>
        <v>Given</v>
      </c>
      <c r="G951" s="2" t="s">
        <v>4983</v>
      </c>
      <c r="H951" s="3" t="str">
        <f t="shared" si="1"/>
        <v>#NAME?</v>
      </c>
      <c r="I951" s="2" t="s">
        <v>4984</v>
      </c>
    </row>
    <row r="952">
      <c r="A952" s="1">
        <v>953.0</v>
      </c>
      <c r="B952" s="1" t="s">
        <v>4985</v>
      </c>
      <c r="C952" s="1" t="s">
        <v>4986</v>
      </c>
      <c r="D952" s="1" t="s">
        <v>4987</v>
      </c>
      <c r="E952" s="14" t="str">
        <f t="shared" si="2"/>
        <v>#NAME?</v>
      </c>
      <c r="F952" s="15" t="str">
        <f>IFERROR(__xludf.DUMMYFUNCTION("GOOGLETRANSLATE(D952,""zh-CN"", ""en"")"),"So as")</f>
        <v>So as</v>
      </c>
      <c r="G952" s="2" t="s">
        <v>4988</v>
      </c>
      <c r="H952" s="3" t="str">
        <f t="shared" si="1"/>
        <v>#NAME?</v>
      </c>
      <c r="I952" s="2" t="s">
        <v>4989</v>
      </c>
    </row>
    <row r="953">
      <c r="A953" s="1">
        <v>954.0</v>
      </c>
      <c r="B953" s="1" t="s">
        <v>4985</v>
      </c>
      <c r="C953" s="1" t="s">
        <v>4986</v>
      </c>
      <c r="D953" s="1" t="s">
        <v>4987</v>
      </c>
      <c r="E953" s="14" t="str">
        <f t="shared" si="2"/>
        <v>#NAME?</v>
      </c>
      <c r="F953" s="15" t="str">
        <f>IFERROR(__xludf.DUMMYFUNCTION("GOOGLETRANSLATE(D953,""zh-CN"", ""en"")"),"So as")</f>
        <v>So as</v>
      </c>
      <c r="G953" s="2" t="s">
        <v>4990</v>
      </c>
      <c r="H953" s="3" t="str">
        <f t="shared" si="1"/>
        <v>#NAME?</v>
      </c>
      <c r="I953" s="2" t="s">
        <v>4991</v>
      </c>
    </row>
    <row r="954">
      <c r="A954" s="1">
        <v>955.0</v>
      </c>
      <c r="B954" s="1" t="s">
        <v>4992</v>
      </c>
      <c r="C954" s="1" t="s">
        <v>4993</v>
      </c>
      <c r="D954" s="1" t="s">
        <v>4994</v>
      </c>
      <c r="E954" s="14" t="str">
        <f t="shared" si="2"/>
        <v>#NAME?</v>
      </c>
      <c r="F954" s="15" t="str">
        <f>IFERROR(__xludf.DUMMYFUNCTION("GOOGLETRANSLATE(D954,""zh-CN"", ""en"")"),"So much so")</f>
        <v>So much so</v>
      </c>
      <c r="G954" s="2" t="s">
        <v>4995</v>
      </c>
      <c r="H954" s="3" t="str">
        <f t="shared" si="1"/>
        <v>#NAME?</v>
      </c>
      <c r="I954" s="2" t="s">
        <v>4996</v>
      </c>
    </row>
    <row r="955">
      <c r="A955" s="1">
        <v>956.0</v>
      </c>
      <c r="B955" s="1" t="s">
        <v>4992</v>
      </c>
      <c r="C955" s="1" t="s">
        <v>4993</v>
      </c>
      <c r="D955" s="1" t="s">
        <v>4994</v>
      </c>
      <c r="E955" s="14" t="str">
        <f t="shared" si="2"/>
        <v>#NAME?</v>
      </c>
      <c r="F955" s="15" t="str">
        <f>IFERROR(__xludf.DUMMYFUNCTION("GOOGLETRANSLATE(D955,""zh-CN"", ""en"")"),"So much so")</f>
        <v>So much so</v>
      </c>
      <c r="G955" s="2" t="s">
        <v>4997</v>
      </c>
      <c r="H955" s="3" t="str">
        <f t="shared" si="1"/>
        <v>#NAME?</v>
      </c>
      <c r="I955" s="2" t="s">
        <v>4998</v>
      </c>
    </row>
    <row r="956">
      <c r="A956" s="1">
        <v>957.0</v>
      </c>
      <c r="B956" s="1" t="s">
        <v>4999</v>
      </c>
      <c r="C956" s="1" t="s">
        <v>5000</v>
      </c>
      <c r="D956" s="1" t="s">
        <v>5001</v>
      </c>
      <c r="E956" s="14" t="str">
        <f t="shared" si="2"/>
        <v>#NAME?</v>
      </c>
      <c r="F956" s="15" t="str">
        <f>IFERROR(__xludf.DUMMYFUNCTION("GOOGLETRANSLATE(D956,""zh-CN"", ""en"")"),"Why")</f>
        <v>Why</v>
      </c>
      <c r="G956" s="2" t="s">
        <v>5002</v>
      </c>
      <c r="H956" s="3" t="str">
        <f t="shared" si="1"/>
        <v>#NAME?</v>
      </c>
      <c r="I956" s="2" t="s">
        <v>5003</v>
      </c>
    </row>
    <row r="957">
      <c r="A957" s="1">
        <v>958.0</v>
      </c>
      <c r="B957" s="1" t="s">
        <v>4999</v>
      </c>
      <c r="C957" s="1" t="s">
        <v>5000</v>
      </c>
      <c r="D957" s="1" t="s">
        <v>5001</v>
      </c>
      <c r="E957" s="14" t="str">
        <f t="shared" si="2"/>
        <v>#NAME?</v>
      </c>
      <c r="F957" s="15" t="str">
        <f>IFERROR(__xludf.DUMMYFUNCTION("GOOGLETRANSLATE(D957,""zh-CN"", ""en"")"),"Why")</f>
        <v>Why</v>
      </c>
      <c r="G957" s="2" t="s">
        <v>5004</v>
      </c>
      <c r="H957" s="3" t="str">
        <f t="shared" si="1"/>
        <v>#NAME?</v>
      </c>
      <c r="I957" s="2" t="s">
        <v>5005</v>
      </c>
    </row>
    <row r="958">
      <c r="A958" s="1">
        <v>959.0</v>
      </c>
      <c r="B958" s="1" t="s">
        <v>5006</v>
      </c>
      <c r="C958" s="1" t="s">
        <v>5007</v>
      </c>
      <c r="D958" s="1" t="s">
        <v>3526</v>
      </c>
      <c r="E958" s="14" t="str">
        <f t="shared" si="2"/>
        <v>#NAME?</v>
      </c>
      <c r="F958" s="15" t="str">
        <f>IFERROR(__xludf.DUMMYFUNCTION("GOOGLETRANSLATE(D958,""zh-CN"", ""en"")"),"of course")</f>
        <v>of course</v>
      </c>
      <c r="G958" s="2" t="s">
        <v>5008</v>
      </c>
      <c r="H958" s="3" t="str">
        <f t="shared" si="1"/>
        <v>#NAME?</v>
      </c>
      <c r="I958" s="2" t="s">
        <v>5009</v>
      </c>
    </row>
    <row r="959">
      <c r="A959" s="1">
        <v>960.0</v>
      </c>
      <c r="B959" s="1" t="s">
        <v>5006</v>
      </c>
      <c r="C959" s="1" t="s">
        <v>5007</v>
      </c>
      <c r="D959" s="1" t="s">
        <v>3526</v>
      </c>
      <c r="E959" s="14" t="str">
        <f t="shared" si="2"/>
        <v>#NAME?</v>
      </c>
      <c r="F959" s="15" t="str">
        <f>IFERROR(__xludf.DUMMYFUNCTION("GOOGLETRANSLATE(D959,""zh-CN"", ""en"")"),"of course")</f>
        <v>of course</v>
      </c>
      <c r="G959" s="2" t="s">
        <v>5010</v>
      </c>
      <c r="H959" s="3" t="str">
        <f t="shared" si="1"/>
        <v>#NAME?</v>
      </c>
      <c r="I959" s="2" t="s">
        <v>5011</v>
      </c>
    </row>
    <row r="960">
      <c r="A960" s="1">
        <v>961.0</v>
      </c>
      <c r="B960" s="1" t="s">
        <v>5012</v>
      </c>
      <c r="C960" s="1" t="s">
        <v>5013</v>
      </c>
      <c r="D960" s="1" t="s">
        <v>3526</v>
      </c>
      <c r="E960" s="14" t="str">
        <f t="shared" si="2"/>
        <v>#NAME?</v>
      </c>
      <c r="F960" s="15" t="str">
        <f>IFERROR(__xludf.DUMMYFUNCTION("GOOGLETRANSLATE(D960,""zh-CN"", ""en"")"),"of course")</f>
        <v>of course</v>
      </c>
      <c r="G960" s="2" t="s">
        <v>5014</v>
      </c>
      <c r="H960" s="3" t="str">
        <f t="shared" si="1"/>
        <v>#NAME?</v>
      </c>
      <c r="I960" s="2" t="s">
        <v>5015</v>
      </c>
    </row>
    <row r="961">
      <c r="A961" s="1">
        <v>962.0</v>
      </c>
      <c r="B961" s="1" t="s">
        <v>5012</v>
      </c>
      <c r="C961" s="1" t="s">
        <v>5013</v>
      </c>
      <c r="D961" s="1" t="s">
        <v>3526</v>
      </c>
      <c r="E961" s="14" t="str">
        <f t="shared" si="2"/>
        <v>#NAME?</v>
      </c>
      <c r="F961" s="15" t="str">
        <f>IFERROR(__xludf.DUMMYFUNCTION("GOOGLETRANSLATE(D961,""zh-CN"", ""en"")"),"of course")</f>
        <v>of course</v>
      </c>
      <c r="G961" s="2" t="s">
        <v>5016</v>
      </c>
      <c r="H961" s="3" t="str">
        <f t="shared" si="1"/>
        <v>#NAME?</v>
      </c>
      <c r="I961" s="2" t="s">
        <v>5017</v>
      </c>
    </row>
    <row r="962">
      <c r="A962" s="1">
        <v>963.0</v>
      </c>
      <c r="B962" s="1" t="s">
        <v>5012</v>
      </c>
      <c r="C962" s="1" t="s">
        <v>5013</v>
      </c>
      <c r="D962" s="1" t="s">
        <v>3526</v>
      </c>
      <c r="E962" s="14" t="str">
        <f t="shared" si="2"/>
        <v>#NAME?</v>
      </c>
      <c r="F962" s="15" t="str">
        <f>IFERROR(__xludf.DUMMYFUNCTION("GOOGLETRANSLATE(D962,""zh-CN"", ""en"")"),"of course")</f>
        <v>of course</v>
      </c>
      <c r="G962" s="2" t="s">
        <v>5018</v>
      </c>
      <c r="H962" s="3" t="str">
        <f t="shared" si="1"/>
        <v>#NAME?</v>
      </c>
      <c r="I962" s="2" t="s">
        <v>5019</v>
      </c>
    </row>
    <row r="963">
      <c r="A963" s="1">
        <v>964.0</v>
      </c>
      <c r="B963" s="1" t="s">
        <v>5020</v>
      </c>
      <c r="C963" s="1" t="s">
        <v>5021</v>
      </c>
      <c r="D963" s="1" t="s">
        <v>3646</v>
      </c>
      <c r="E963" s="14" t="str">
        <f t="shared" si="2"/>
        <v>#NAME?</v>
      </c>
      <c r="F963" s="15" t="str">
        <f>IFERROR(__xludf.DUMMYFUNCTION("GOOGLETRANSLATE(D963,""zh-CN"", ""en"")"),"even if")</f>
        <v>even if</v>
      </c>
      <c r="G963" s="2" t="s">
        <v>5022</v>
      </c>
      <c r="H963" s="3" t="str">
        <f t="shared" si="1"/>
        <v>#NAME?</v>
      </c>
      <c r="I963" s="2" t="s">
        <v>5023</v>
      </c>
    </row>
    <row r="964">
      <c r="A964" s="1">
        <v>965.0</v>
      </c>
      <c r="B964" s="1" t="s">
        <v>5020</v>
      </c>
      <c r="C964" s="1" t="s">
        <v>5021</v>
      </c>
      <c r="D964" s="1" t="s">
        <v>3646</v>
      </c>
      <c r="E964" s="14" t="str">
        <f t="shared" si="2"/>
        <v>#NAME?</v>
      </c>
      <c r="F964" s="15" t="str">
        <f>IFERROR(__xludf.DUMMYFUNCTION("GOOGLETRANSLATE(D964,""zh-CN"", ""en"")"),"even if")</f>
        <v>even if</v>
      </c>
      <c r="G964" s="2" t="s">
        <v>5024</v>
      </c>
      <c r="H964" s="3" t="str">
        <f t="shared" si="1"/>
        <v>#NAME?</v>
      </c>
      <c r="I964" s="2" t="s">
        <v>5025</v>
      </c>
    </row>
    <row r="965">
      <c r="A965" s="1">
        <v>966.0</v>
      </c>
      <c r="B965" s="1" t="s">
        <v>5026</v>
      </c>
      <c r="C965" s="1" t="s">
        <v>5027</v>
      </c>
      <c r="D965" s="1" t="s">
        <v>5028</v>
      </c>
      <c r="E965" s="14" t="str">
        <f t="shared" si="2"/>
        <v>#NAME?</v>
      </c>
      <c r="F965" s="15" t="str">
        <f>IFERROR(__xludf.DUMMYFUNCTION("GOOGLETRANSLATE(D965,""zh-CN"", ""en"")"),"although")</f>
        <v>although</v>
      </c>
      <c r="G965" s="2" t="s">
        <v>5029</v>
      </c>
      <c r="H965" s="3" t="str">
        <f t="shared" si="1"/>
        <v>#NAME?</v>
      </c>
      <c r="I965" s="2" t="s">
        <v>5030</v>
      </c>
    </row>
    <row r="966">
      <c r="A966" s="1">
        <v>967.0</v>
      </c>
      <c r="B966" s="1" t="s">
        <v>5026</v>
      </c>
      <c r="C966" s="1" t="s">
        <v>5027</v>
      </c>
      <c r="D966" s="1" t="s">
        <v>5028</v>
      </c>
      <c r="E966" s="14" t="str">
        <f t="shared" si="2"/>
        <v>#NAME?</v>
      </c>
      <c r="F966" s="15" t="str">
        <f>IFERROR(__xludf.DUMMYFUNCTION("GOOGLETRANSLATE(D966,""zh-CN"", ""en"")"),"although")</f>
        <v>although</v>
      </c>
      <c r="G966" s="2" t="s">
        <v>5031</v>
      </c>
      <c r="H966" s="3" t="str">
        <f t="shared" si="1"/>
        <v>#NAME?</v>
      </c>
      <c r="I966" s="2" t="s">
        <v>5032</v>
      </c>
    </row>
    <row r="967">
      <c r="A967" s="1">
        <v>968.0</v>
      </c>
      <c r="B967" s="1" t="s">
        <v>5026</v>
      </c>
      <c r="C967" s="1" t="s">
        <v>5027</v>
      </c>
      <c r="D967" s="1" t="s">
        <v>5028</v>
      </c>
      <c r="E967" s="14" t="str">
        <f t="shared" si="2"/>
        <v>#NAME?</v>
      </c>
      <c r="F967" s="15" t="str">
        <f>IFERROR(__xludf.DUMMYFUNCTION("GOOGLETRANSLATE(D967,""zh-CN"", ""en"")"),"although")</f>
        <v>although</v>
      </c>
      <c r="G967" s="2" t="s">
        <v>5033</v>
      </c>
      <c r="H967" s="3" t="str">
        <f t="shared" si="1"/>
        <v>#NAME?</v>
      </c>
      <c r="I967" s="2" t="s">
        <v>5034</v>
      </c>
    </row>
    <row r="968">
      <c r="A968" s="1">
        <v>969.0</v>
      </c>
      <c r="B968" s="1" t="s">
        <v>5035</v>
      </c>
      <c r="C968" s="1" t="s">
        <v>5036</v>
      </c>
      <c r="D968" s="1" t="s">
        <v>5037</v>
      </c>
      <c r="E968" s="14" t="str">
        <f t="shared" si="2"/>
        <v>#NAME?</v>
      </c>
      <c r="F968" s="15" t="str">
        <f>IFERROR(__xludf.DUMMYFUNCTION("GOOGLETRANSLATE(D968,""zh-CN"", ""en"")"),"Even though")</f>
        <v>Even though</v>
      </c>
      <c r="G968" s="2" t="s">
        <v>5038</v>
      </c>
      <c r="H968" s="3" t="str">
        <f t="shared" si="1"/>
        <v>#NAME?</v>
      </c>
      <c r="I968" s="2" t="s">
        <v>5039</v>
      </c>
    </row>
    <row r="969">
      <c r="A969" s="1">
        <v>970.0</v>
      </c>
      <c r="B969" s="1" t="s">
        <v>5035</v>
      </c>
      <c r="C969" s="1" t="s">
        <v>5036</v>
      </c>
      <c r="D969" s="1" t="s">
        <v>5037</v>
      </c>
      <c r="E969" s="14" t="str">
        <f t="shared" si="2"/>
        <v>#NAME?</v>
      </c>
      <c r="F969" s="15" t="str">
        <f>IFERROR(__xludf.DUMMYFUNCTION("GOOGLETRANSLATE(D969,""zh-CN"", ""en"")"),"Even though")</f>
        <v>Even though</v>
      </c>
      <c r="G969" s="2" t="s">
        <v>5040</v>
      </c>
      <c r="H969" s="3" t="str">
        <f t="shared" si="1"/>
        <v>#NAME?</v>
      </c>
      <c r="I969" s="2" t="s">
        <v>5041</v>
      </c>
    </row>
    <row r="970">
      <c r="A970" s="1">
        <v>971.0</v>
      </c>
      <c r="B970" s="1" t="s">
        <v>5042</v>
      </c>
      <c r="C970" s="1" t="s">
        <v>5043</v>
      </c>
      <c r="D970" s="1" t="s">
        <v>1915</v>
      </c>
      <c r="E970" s="14" t="str">
        <f t="shared" si="2"/>
        <v>#NAME?</v>
      </c>
      <c r="F970" s="15" t="str">
        <f>IFERROR(__xludf.DUMMYFUNCTION("GOOGLETRANSLATE(D970,""zh-CN"", ""en"")"),"by")</f>
        <v>by</v>
      </c>
      <c r="G970" s="2" t="s">
        <v>5044</v>
      </c>
      <c r="H970" s="3" t="str">
        <f t="shared" si="1"/>
        <v>#NAME?</v>
      </c>
      <c r="I970" s="2" t="s">
        <v>5045</v>
      </c>
    </row>
    <row r="971">
      <c r="A971" s="1">
        <v>972.0</v>
      </c>
      <c r="B971" s="1" t="s">
        <v>5042</v>
      </c>
      <c r="C971" s="1" t="s">
        <v>5043</v>
      </c>
      <c r="D971" s="1" t="s">
        <v>1915</v>
      </c>
      <c r="E971" s="14" t="str">
        <f t="shared" si="2"/>
        <v>#NAME?</v>
      </c>
      <c r="F971" s="15" t="str">
        <f>IFERROR(__xludf.DUMMYFUNCTION("GOOGLETRANSLATE(D971,""zh-CN"", ""en"")"),"by")</f>
        <v>by</v>
      </c>
      <c r="G971" s="2" t="s">
        <v>5046</v>
      </c>
      <c r="H971" s="3" t="str">
        <f t="shared" si="1"/>
        <v>#NAME?</v>
      </c>
      <c r="I971" s="2" t="s">
        <v>5047</v>
      </c>
    </row>
    <row r="972">
      <c r="A972" s="1">
        <v>973.0</v>
      </c>
      <c r="B972" s="1" t="s">
        <v>5048</v>
      </c>
      <c r="C972" s="1" t="s">
        <v>5049</v>
      </c>
      <c r="D972" s="1" t="s">
        <v>3882</v>
      </c>
      <c r="E972" s="14" t="str">
        <f t="shared" si="2"/>
        <v>#NAME?</v>
      </c>
      <c r="F972" s="15" t="str">
        <f>IFERROR(__xludf.DUMMYFUNCTION("GOOGLETRANSLATE(D972,""zh-CN"", ""en"")"),"so as not to")</f>
        <v>so as not to</v>
      </c>
      <c r="G972" s="2" t="s">
        <v>5050</v>
      </c>
      <c r="H972" s="3" t="str">
        <f t="shared" si="1"/>
        <v>#NAME?</v>
      </c>
      <c r="I972" s="2" t="s">
        <v>5051</v>
      </c>
    </row>
    <row r="973">
      <c r="A973" s="1">
        <v>974.0</v>
      </c>
      <c r="B973" s="1" t="s">
        <v>5048</v>
      </c>
      <c r="C973" s="1" t="s">
        <v>5049</v>
      </c>
      <c r="D973" s="1" t="s">
        <v>3740</v>
      </c>
      <c r="E973" s="14" t="str">
        <f t="shared" si="2"/>
        <v>#NAME?</v>
      </c>
      <c r="F973" s="15" t="str">
        <f>IFERROR(__xludf.DUMMYFUNCTION("GOOGLETRANSLATE(D973,""zh-CN"", ""en"")"),"lest")</f>
        <v>lest</v>
      </c>
      <c r="G973" s="2" t="s">
        <v>5052</v>
      </c>
      <c r="H973" s="3" t="str">
        <f t="shared" si="1"/>
        <v>#NAME?</v>
      </c>
      <c r="I973" s="2" t="s">
        <v>5053</v>
      </c>
    </row>
    <row r="974">
      <c r="A974" s="1">
        <v>975.0</v>
      </c>
      <c r="B974" s="1" t="s">
        <v>5054</v>
      </c>
      <c r="C974" s="1" t="s">
        <v>5055</v>
      </c>
      <c r="D974" s="1" t="s">
        <v>5056</v>
      </c>
      <c r="E974" s="14" t="str">
        <f t="shared" si="2"/>
        <v>#NAME?</v>
      </c>
      <c r="F974" s="15" t="str">
        <f>IFERROR(__xludf.DUMMYFUNCTION("GOOGLETRANSLATE(D974,""zh-CN"", ""en"")"),"In other words")</f>
        <v>In other words</v>
      </c>
      <c r="G974" s="2" t="s">
        <v>5057</v>
      </c>
      <c r="H974" s="3" t="str">
        <f t="shared" si="1"/>
        <v>#NAME?</v>
      </c>
      <c r="I974" s="2" t="s">
        <v>5058</v>
      </c>
    </row>
    <row r="975">
      <c r="A975" s="1">
        <v>976.0</v>
      </c>
      <c r="B975" s="1" t="s">
        <v>5054</v>
      </c>
      <c r="C975" s="1" t="s">
        <v>5055</v>
      </c>
      <c r="D975" s="1" t="s">
        <v>5056</v>
      </c>
      <c r="E975" s="14" t="str">
        <f t="shared" si="2"/>
        <v>#NAME?</v>
      </c>
      <c r="F975" s="15" t="str">
        <f>IFERROR(__xludf.DUMMYFUNCTION("GOOGLETRANSLATE(D975,""zh-CN"", ""en"")"),"In other words")</f>
        <v>In other words</v>
      </c>
      <c r="G975" s="2" t="s">
        <v>5059</v>
      </c>
      <c r="H975" s="3" t="str">
        <f t="shared" si="1"/>
        <v>#NAME?</v>
      </c>
      <c r="I975" s="2" t="s">
        <v>5060</v>
      </c>
    </row>
    <row r="976">
      <c r="A976" s="1">
        <v>977.0</v>
      </c>
      <c r="B976" s="1" t="s">
        <v>5061</v>
      </c>
      <c r="C976" s="1" t="s">
        <v>5062</v>
      </c>
      <c r="D976" s="1" t="s">
        <v>5063</v>
      </c>
      <c r="E976" s="14" t="str">
        <f t="shared" si="2"/>
        <v>#NAME?</v>
      </c>
      <c r="F976" s="15" t="str">
        <f>IFERROR(__xludf.DUMMYFUNCTION("GOOGLETRANSLATE(D976,""zh-CN"", ""en"")"),"Play a")</f>
        <v>Play a</v>
      </c>
      <c r="G976" s="2" t="s">
        <v>5064</v>
      </c>
      <c r="H976" s="3" t="str">
        <f t="shared" si="1"/>
        <v>#NAME?</v>
      </c>
      <c r="I976" s="2" t="s">
        <v>5065</v>
      </c>
    </row>
    <row r="977">
      <c r="A977" s="1">
        <v>978.0</v>
      </c>
      <c r="B977" s="1" t="s">
        <v>5061</v>
      </c>
      <c r="C977" s="1" t="s">
        <v>5062</v>
      </c>
      <c r="D977" s="1" t="s">
        <v>5066</v>
      </c>
      <c r="E977" s="14" t="str">
        <f t="shared" si="2"/>
        <v>#NAME?</v>
      </c>
      <c r="F977" s="15" t="str">
        <f>IFERROR(__xludf.DUMMYFUNCTION("GOOGLETRANSLATE(D977,""zh-CN"", ""en"")"),"Have a drink")</f>
        <v>Have a drink</v>
      </c>
      <c r="G977" s="2" t="s">
        <v>5067</v>
      </c>
      <c r="H977" s="3" t="str">
        <f t="shared" si="1"/>
        <v>#NAME?</v>
      </c>
      <c r="I977" s="2" t="s">
        <v>5068</v>
      </c>
    </row>
    <row r="978">
      <c r="A978" s="1">
        <v>979.0</v>
      </c>
      <c r="B978" s="1" t="s">
        <v>5069</v>
      </c>
      <c r="C978" s="1" t="s">
        <v>5070</v>
      </c>
      <c r="D978" s="1" t="s">
        <v>5071</v>
      </c>
      <c r="E978" s="14" t="str">
        <f t="shared" si="2"/>
        <v>#NAME?</v>
      </c>
      <c r="F978" s="15" t="str">
        <f>IFERROR(__xludf.DUMMYFUNCTION("GOOGLETRANSLATE(D978,""zh-CN"", ""en"")"),"Just go")</f>
        <v>Just go</v>
      </c>
      <c r="G978" s="2" t="s">
        <v>5072</v>
      </c>
      <c r="H978" s="3" t="str">
        <f t="shared" si="1"/>
        <v>#NAME?</v>
      </c>
      <c r="I978" s="2" t="s">
        <v>5073</v>
      </c>
    </row>
    <row r="979">
      <c r="A979" s="1">
        <v>980.0</v>
      </c>
      <c r="B979" s="1" t="s">
        <v>5069</v>
      </c>
      <c r="C979" s="1" t="s">
        <v>5070</v>
      </c>
      <c r="D979" s="1" t="s">
        <v>5074</v>
      </c>
      <c r="E979" s="14" t="str">
        <f t="shared" si="2"/>
        <v>#NAME?</v>
      </c>
      <c r="F979" s="15" t="str">
        <f>IFERROR(__xludf.DUMMYFUNCTION("GOOGLETRANSLATE(D979,""zh-CN"", ""en"")"),"If you want to leave, then leave.")</f>
        <v>If you want to leave, then leave.</v>
      </c>
      <c r="G979" s="2" t="s">
        <v>5075</v>
      </c>
      <c r="H979" s="3" t="str">
        <f t="shared" si="1"/>
        <v>#NAME?</v>
      </c>
      <c r="I979" s="2" t="s">
        <v>5076</v>
      </c>
    </row>
    <row r="980">
      <c r="A980" s="1">
        <v>981.0</v>
      </c>
      <c r="B980" s="1" t="s">
        <v>5077</v>
      </c>
      <c r="C980" s="1" t="s">
        <v>5078</v>
      </c>
      <c r="D980" s="1" t="s">
        <v>5079</v>
      </c>
      <c r="E980" s="14" t="str">
        <f t="shared" si="2"/>
        <v>#NAME?</v>
      </c>
      <c r="F980" s="15" t="str">
        <f>IFERROR(__xludf.DUMMYFUNCTION("GOOGLETRANSLATE(D980,""zh-CN"", ""en"")"),"and")</f>
        <v>and</v>
      </c>
      <c r="G980" s="2" t="s">
        <v>5080</v>
      </c>
      <c r="H980" s="3" t="str">
        <f t="shared" si="1"/>
        <v>#NAME?</v>
      </c>
      <c r="I980" s="2" t="s">
        <v>5081</v>
      </c>
    </row>
    <row r="981">
      <c r="A981" s="1">
        <v>982.0</v>
      </c>
      <c r="B981" s="1" t="s">
        <v>5077</v>
      </c>
      <c r="C981" s="1" t="s">
        <v>5078</v>
      </c>
      <c r="D981" s="1" t="s">
        <v>3882</v>
      </c>
      <c r="E981" s="14" t="str">
        <f t="shared" si="2"/>
        <v>#NAME?</v>
      </c>
      <c r="F981" s="15" t="str">
        <f>IFERROR(__xludf.DUMMYFUNCTION("GOOGLETRANSLATE(D981,""zh-CN"", ""en"")"),"so as not to")</f>
        <v>so as not to</v>
      </c>
      <c r="G981" s="2" t="s">
        <v>5082</v>
      </c>
      <c r="H981" s="3" t="str">
        <f t="shared" si="1"/>
        <v>#NAME?</v>
      </c>
      <c r="I981" s="2" t="s">
        <v>5083</v>
      </c>
    </row>
    <row r="982">
      <c r="A982" s="1">
        <v>983.0</v>
      </c>
      <c r="B982" s="1" t="s">
        <v>5077</v>
      </c>
      <c r="C982" s="1" t="s">
        <v>5078</v>
      </c>
      <c r="D982" s="1" t="s">
        <v>5084</v>
      </c>
      <c r="E982" s="14" t="str">
        <f t="shared" si="2"/>
        <v>#NAME?</v>
      </c>
      <c r="F982" s="15" t="str">
        <f>IFERROR(__xludf.DUMMYFUNCTION("GOOGLETRANSLATE(D982,""zh-CN"", ""en"")"),"Naturally")</f>
        <v>Naturally</v>
      </c>
      <c r="G982" s="2" t="s">
        <v>5085</v>
      </c>
      <c r="H982" s="3" t="str">
        <f t="shared" si="1"/>
        <v>#NAME?</v>
      </c>
      <c r="I982" s="2" t="s">
        <v>5086</v>
      </c>
    </row>
    <row r="983">
      <c r="A983" s="1">
        <v>984.0</v>
      </c>
      <c r="B983" s="1" t="s">
        <v>5087</v>
      </c>
      <c r="C983" s="1" t="s">
        <v>5088</v>
      </c>
      <c r="D983" s="1" t="s">
        <v>2685</v>
      </c>
      <c r="E983" s="14" t="str">
        <f t="shared" si="2"/>
        <v>#NAME?</v>
      </c>
      <c r="F983" s="15" t="str">
        <f>IFERROR(__xludf.DUMMYFUNCTION("GOOGLETRANSLATE(D983,""zh-CN"", ""en"")"),"Why bother?")</f>
        <v>Why bother?</v>
      </c>
      <c r="G983" s="2" t="s">
        <v>5089</v>
      </c>
      <c r="H983" s="3" t="str">
        <f t="shared" si="1"/>
        <v>#NAME?</v>
      </c>
      <c r="I983" s="2" t="s">
        <v>5090</v>
      </c>
    </row>
    <row r="984">
      <c r="A984" s="1">
        <v>985.0</v>
      </c>
      <c r="B984" s="1" t="s">
        <v>5087</v>
      </c>
      <c r="C984" s="1" t="s">
        <v>5088</v>
      </c>
      <c r="D984" s="1" t="s">
        <v>5091</v>
      </c>
      <c r="E984" s="14" t="str">
        <f t="shared" si="2"/>
        <v>#NAME?</v>
      </c>
      <c r="F984" s="15" t="str">
        <f>IFERROR(__xludf.DUMMYFUNCTION("GOOGLETRANSLATE(D984,""zh-CN"", ""en"")"),"Why bother?")</f>
        <v>Why bother?</v>
      </c>
      <c r="G984" s="2" t="s">
        <v>5092</v>
      </c>
      <c r="H984" s="3" t="str">
        <f t="shared" si="1"/>
        <v>#NAME?</v>
      </c>
      <c r="I984" s="2" t="s">
        <v>5093</v>
      </c>
    </row>
    <row r="985">
      <c r="A985" s="1">
        <v>986.0</v>
      </c>
      <c r="B985" s="1" t="s">
        <v>5094</v>
      </c>
      <c r="C985" s="1" t="s">
        <v>5095</v>
      </c>
      <c r="D985" s="1" t="s">
        <v>5096</v>
      </c>
      <c r="E985" s="14" t="str">
        <f t="shared" si="2"/>
        <v>#NAME?</v>
      </c>
      <c r="F985" s="15" t="str">
        <f>IFERROR(__xludf.DUMMYFUNCTION("GOOGLETRANSLATE(D985,""zh-CN"", ""en"")"),"On the other hand")</f>
        <v>On the other hand</v>
      </c>
      <c r="G985" s="2" t="s">
        <v>5097</v>
      </c>
      <c r="H985" s="3" t="str">
        <f t="shared" si="1"/>
        <v>#NAME?</v>
      </c>
      <c r="I985" s="2" t="s">
        <v>5098</v>
      </c>
    </row>
    <row r="986">
      <c r="A986" s="1">
        <v>987.0</v>
      </c>
      <c r="B986" s="1" t="s">
        <v>5094</v>
      </c>
      <c r="C986" s="1" t="s">
        <v>5095</v>
      </c>
      <c r="D986" s="1" t="s">
        <v>5096</v>
      </c>
      <c r="E986" s="14" t="str">
        <f t="shared" si="2"/>
        <v>#NAME?</v>
      </c>
      <c r="F986" s="15" t="str">
        <f>IFERROR(__xludf.DUMMYFUNCTION("GOOGLETRANSLATE(D986,""zh-CN"", ""en"")"),"On the other hand")</f>
        <v>On the other hand</v>
      </c>
      <c r="G986" s="2" t="s">
        <v>5099</v>
      </c>
      <c r="H986" s="3" t="str">
        <f t="shared" si="1"/>
        <v>#NAME?</v>
      </c>
      <c r="I986" s="2" t="s">
        <v>5100</v>
      </c>
    </row>
    <row r="987">
      <c r="A987" s="1">
        <v>988.0</v>
      </c>
      <c r="B987" s="1" t="s">
        <v>5101</v>
      </c>
      <c r="C987" s="1" t="s">
        <v>5102</v>
      </c>
      <c r="D987" s="1" t="s">
        <v>5103</v>
      </c>
      <c r="E987" s="14" t="str">
        <f t="shared" si="2"/>
        <v>#NAME?</v>
      </c>
      <c r="F987" s="15" t="str">
        <f>IFERROR(__xludf.DUMMYFUNCTION("GOOGLETRANSLATE(D987,""zh-CN"", ""en"")"),"*Neither* nor")</f>
        <v>*Neither* nor</v>
      </c>
      <c r="G987" s="2" t="s">
        <v>5104</v>
      </c>
      <c r="H987" s="3" t="str">
        <f t="shared" si="1"/>
        <v>#NAME?</v>
      </c>
      <c r="I987" s="2" t="s">
        <v>5105</v>
      </c>
    </row>
    <row r="988">
      <c r="A988" s="1">
        <v>989.0</v>
      </c>
      <c r="B988" s="1" t="s">
        <v>5101</v>
      </c>
      <c r="C988" s="1" t="s">
        <v>5102</v>
      </c>
      <c r="D988" s="1" t="s">
        <v>5106</v>
      </c>
      <c r="E988" s="14" t="str">
        <f t="shared" si="2"/>
        <v>#NAME?</v>
      </c>
      <c r="F988" s="15" t="str">
        <f>IFERROR(__xludf.DUMMYFUNCTION("GOOGLETRANSLATE(D988,""zh-CN"", ""en"")"),"*No, it won't work*")</f>
        <v>*No, it won't work*</v>
      </c>
      <c r="G988" s="2" t="s">
        <v>5107</v>
      </c>
      <c r="H988" s="3" t="str">
        <f t="shared" si="1"/>
        <v>#NAME?</v>
      </c>
      <c r="I988" s="2" t="s">
        <v>5108</v>
      </c>
    </row>
    <row r="989">
      <c r="A989" s="1">
        <v>990.0</v>
      </c>
      <c r="B989" s="1" t="s">
        <v>5109</v>
      </c>
      <c r="C989" s="1" t="s">
        <v>5110</v>
      </c>
      <c r="D989" s="1" t="s">
        <v>5111</v>
      </c>
      <c r="E989" s="14" t="str">
        <f t="shared" si="2"/>
        <v>#NAME?</v>
      </c>
      <c r="F989" s="15" t="str">
        <f>IFERROR(__xludf.DUMMYFUNCTION("GOOGLETRANSLATE(D989,""zh-CN"", ""en"")"),"*It's fine*")</f>
        <v>*It's fine*</v>
      </c>
      <c r="G989" s="2" t="s">
        <v>5112</v>
      </c>
      <c r="H989" s="3" t="str">
        <f t="shared" si="1"/>
        <v>#NAME?</v>
      </c>
      <c r="I989" s="2" t="s">
        <v>5113</v>
      </c>
    </row>
    <row r="990">
      <c r="A990" s="1">
        <v>991.0</v>
      </c>
      <c r="B990" s="1" t="s">
        <v>5109</v>
      </c>
      <c r="C990" s="1" t="s">
        <v>5110</v>
      </c>
      <c r="D990" s="1" t="s">
        <v>5111</v>
      </c>
      <c r="E990" s="14" t="str">
        <f t="shared" si="2"/>
        <v>#NAME?</v>
      </c>
      <c r="F990" s="15" t="str">
        <f>IFERROR(__xludf.DUMMYFUNCTION("GOOGLETRANSLATE(D990,""zh-CN"", ""en"")"),"*It's fine*")</f>
        <v>*It's fine*</v>
      </c>
      <c r="G990" s="2" t="s">
        <v>5114</v>
      </c>
      <c r="H990" s="3" t="str">
        <f t="shared" si="1"/>
        <v>#NAME?</v>
      </c>
      <c r="I990" s="2" t="s">
        <v>5115</v>
      </c>
    </row>
    <row r="991">
      <c r="A991" s="1">
        <v>992.0</v>
      </c>
      <c r="B991" s="1" t="s">
        <v>5109</v>
      </c>
      <c r="C991" s="1" t="s">
        <v>5110</v>
      </c>
      <c r="D991" s="1" t="s">
        <v>5116</v>
      </c>
      <c r="E991" s="14" t="str">
        <f t="shared" si="2"/>
        <v>#NAME?</v>
      </c>
      <c r="F991" s="15" t="str">
        <f>IFERROR(__xludf.DUMMYFUNCTION("GOOGLETRANSLATE(D991,""zh-CN"", ""en"")"),"*Fine*")</f>
        <v>*Fine*</v>
      </c>
      <c r="G991" s="2" t="s">
        <v>5117</v>
      </c>
      <c r="H991" s="3" t="str">
        <f t="shared" si="1"/>
        <v>#NAME?</v>
      </c>
      <c r="I991" s="2" t="s">
        <v>5118</v>
      </c>
    </row>
    <row r="992">
      <c r="A992" s="1">
        <v>993.0</v>
      </c>
      <c r="B992" s="1" t="s">
        <v>5109</v>
      </c>
      <c r="C992" s="1" t="s">
        <v>5110</v>
      </c>
      <c r="D992" s="1" t="s">
        <v>5119</v>
      </c>
      <c r="E992" s="14" t="str">
        <f t="shared" si="2"/>
        <v>#NAME?</v>
      </c>
      <c r="F992" s="15" t="str">
        <f>IFERROR(__xludf.DUMMYFUNCTION("GOOGLETRANSLATE(D992,""zh-CN"", ""en"")"),"So be it.")</f>
        <v>So be it.</v>
      </c>
      <c r="G992" s="2" t="s">
        <v>5120</v>
      </c>
      <c r="H992" s="3" t="str">
        <f t="shared" si="1"/>
        <v>#NAME?</v>
      </c>
      <c r="I992" s="2" t="s">
        <v>5121</v>
      </c>
    </row>
    <row r="993">
      <c r="A993" s="1">
        <v>994.0</v>
      </c>
      <c r="B993" s="1" t="s">
        <v>5122</v>
      </c>
      <c r="C993" s="1" t="s">
        <v>5123</v>
      </c>
      <c r="D993" s="1" t="s">
        <v>5124</v>
      </c>
      <c r="E993" s="14" t="str">
        <f t="shared" si="2"/>
        <v>#NAME?</v>
      </c>
      <c r="F993" s="15" t="str">
        <f>IFERROR(__xludf.DUMMYFUNCTION("GOOGLETRANSLATE(D993,""zh-CN"", ""en"")"),"again and again")</f>
        <v>again and again</v>
      </c>
      <c r="G993" s="2" t="s">
        <v>5125</v>
      </c>
      <c r="H993" s="3" t="str">
        <f t="shared" si="1"/>
        <v>#NAME?</v>
      </c>
      <c r="I993" s="2" t="s">
        <v>5126</v>
      </c>
    </row>
    <row r="994">
      <c r="A994" s="1">
        <v>995.0</v>
      </c>
      <c r="B994" s="1" t="s">
        <v>5122</v>
      </c>
      <c r="C994" s="1" t="s">
        <v>5123</v>
      </c>
      <c r="D994" s="1" t="s">
        <v>5124</v>
      </c>
      <c r="E994" s="14" t="str">
        <f t="shared" si="2"/>
        <v>#NAME?</v>
      </c>
      <c r="F994" s="15" t="str">
        <f>IFERROR(__xludf.DUMMYFUNCTION("GOOGLETRANSLATE(D994,""zh-CN"", ""en"")"),"again and again")</f>
        <v>again and again</v>
      </c>
      <c r="G994" s="2" t="s">
        <v>5127</v>
      </c>
      <c r="H994" s="3" t="str">
        <f t="shared" si="1"/>
        <v>#NAME?</v>
      </c>
      <c r="I994" s="2" t="s">
        <v>5128</v>
      </c>
    </row>
    <row r="995">
      <c r="A995" s="1">
        <v>996.0</v>
      </c>
      <c r="B995" s="1" t="s">
        <v>5129</v>
      </c>
      <c r="C995" s="1" t="s">
        <v>5130</v>
      </c>
      <c r="D995" s="1" t="s">
        <v>5131</v>
      </c>
      <c r="E995" s="14" t="str">
        <f t="shared" si="2"/>
        <v>#NAME?</v>
      </c>
      <c r="F995" s="15" t="str">
        <f>IFERROR(__xludf.DUMMYFUNCTION("GOOGLETRANSLATE(D995,""zh-CN"", ""en"")"),"Neither *neither *neither")</f>
        <v>Neither *neither *neither</v>
      </c>
      <c r="G995" s="2" t="s">
        <v>5132</v>
      </c>
      <c r="H995" s="3" t="str">
        <f t="shared" si="1"/>
        <v>#NAME?</v>
      </c>
      <c r="I995" s="2" t="s">
        <v>5133</v>
      </c>
    </row>
    <row r="996">
      <c r="A996" s="1">
        <v>997.0</v>
      </c>
      <c r="B996" s="1" t="s">
        <v>5129</v>
      </c>
      <c r="C996" s="1" t="s">
        <v>5130</v>
      </c>
      <c r="D996" s="1" t="s">
        <v>5131</v>
      </c>
      <c r="E996" s="14" t="str">
        <f t="shared" si="2"/>
        <v>#NAME?</v>
      </c>
      <c r="F996" s="15" t="str">
        <f>IFERROR(__xludf.DUMMYFUNCTION("GOOGLETRANSLATE(D996,""zh-CN"", ""en"")"),"Neither *neither *neither")</f>
        <v>Neither *neither *neither</v>
      </c>
      <c r="G996" s="2" t="s">
        <v>5134</v>
      </c>
      <c r="H996" s="3" t="str">
        <f t="shared" si="1"/>
        <v>#NAME?</v>
      </c>
      <c r="I996" s="2" t="s">
        <v>5135</v>
      </c>
    </row>
    <row r="997">
      <c r="A997" s="1">
        <v>998.0</v>
      </c>
      <c r="B997" s="1" t="s">
        <v>5136</v>
      </c>
      <c r="C997" s="1" t="s">
        <v>5137</v>
      </c>
      <c r="D997" s="1" t="s">
        <v>5138</v>
      </c>
      <c r="E997" s="14" t="str">
        <f t="shared" si="2"/>
        <v>#NAME?</v>
      </c>
      <c r="F997" s="15" t="str">
        <f>IFERROR(__xludf.DUMMYFUNCTION("GOOGLETRANSLATE(D997,""zh-CN"", ""en"")"),"It's so...")</f>
        <v>It's so...</v>
      </c>
      <c r="G997" s="2" t="s">
        <v>5139</v>
      </c>
      <c r="H997" s="3" t="str">
        <f t="shared" si="1"/>
        <v>#NAME?</v>
      </c>
      <c r="I997" s="2" t="s">
        <v>5140</v>
      </c>
    </row>
    <row r="998">
      <c r="A998" s="1">
        <v>999.0</v>
      </c>
      <c r="B998" s="1" t="s">
        <v>5136</v>
      </c>
      <c r="C998" s="1" t="s">
        <v>5137</v>
      </c>
      <c r="D998" s="1" t="s">
        <v>5141</v>
      </c>
      <c r="E998" s="14" t="str">
        <f t="shared" si="2"/>
        <v>#NAME?</v>
      </c>
      <c r="F998" s="15" t="str">
        <f>IFERROR(__xludf.DUMMYFUNCTION("GOOGLETRANSLATE(D998,""zh-CN"", ""en"")"),"Don't even mention it*")</f>
        <v>Don't even mention it*</v>
      </c>
      <c r="G998" s="2" t="s">
        <v>5142</v>
      </c>
      <c r="H998" s="3" t="str">
        <f t="shared" si="1"/>
        <v>#NAME?</v>
      </c>
      <c r="I998" s="2" t="s">
        <v>5143</v>
      </c>
    </row>
    <row r="999">
      <c r="A999" s="1">
        <v>1000.0</v>
      </c>
      <c r="B999" s="1" t="s">
        <v>5144</v>
      </c>
      <c r="C999" s="1" t="s">
        <v>5145</v>
      </c>
      <c r="D999" s="1" t="s">
        <v>5146</v>
      </c>
      <c r="E999" s="14" t="str">
        <f t="shared" si="2"/>
        <v>#NAME?</v>
      </c>
      <c r="F999" s="15" t="str">
        <f>IFERROR(__xludf.DUMMYFUNCTION("GOOGLETRANSLATE(D999,""zh-CN"", ""en"")"),"Unknown*")</f>
        <v>Unknown*</v>
      </c>
      <c r="G999" s="2" t="s">
        <v>5147</v>
      </c>
      <c r="H999" s="3" t="str">
        <f t="shared" si="1"/>
        <v>#NAME?</v>
      </c>
      <c r="I999" s="2" t="s">
        <v>5148</v>
      </c>
    </row>
    <row r="1000">
      <c r="A1000" s="1">
        <v>1001.0</v>
      </c>
      <c r="B1000" s="1" t="s">
        <v>5144</v>
      </c>
      <c r="C1000" s="1" t="s">
        <v>5145</v>
      </c>
      <c r="D1000" s="1" t="s">
        <v>5146</v>
      </c>
      <c r="E1000" s="14" t="str">
        <f t="shared" si="2"/>
        <v>#NAME?</v>
      </c>
      <c r="F1000" s="15" t="str">
        <f>IFERROR(__xludf.DUMMYFUNCTION("GOOGLETRANSLATE(D1000,""zh-CN"", ""en"")"),"Unknown*")</f>
        <v>Unknown*</v>
      </c>
      <c r="G1000" s="2" t="s">
        <v>5149</v>
      </c>
      <c r="H1000" s="3" t="str">
        <f t="shared" si="1"/>
        <v>#NAME?</v>
      </c>
      <c r="I1000" s="2" t="s">
        <v>5150</v>
      </c>
    </row>
    <row r="1001">
      <c r="A1001" s="1">
        <v>1002.0</v>
      </c>
      <c r="B1001" s="1" t="s">
        <v>5151</v>
      </c>
      <c r="C1001" s="1" t="s">
        <v>5152</v>
      </c>
      <c r="D1001" s="1" t="s">
        <v>5153</v>
      </c>
      <c r="E1001" s="14" t="str">
        <f t="shared" si="2"/>
        <v>#NAME?</v>
      </c>
      <c r="F1001" s="15" t="str">
        <f>IFERROR(__xludf.DUMMYFUNCTION("GOOGLETRANSLATE(D1001,""zh-CN"", ""en"")"),"That's what it means.")</f>
        <v>That's what it means.</v>
      </c>
      <c r="G1001" s="2" t="s">
        <v>5154</v>
      </c>
      <c r="H1001" s="3" t="str">
        <f t="shared" si="1"/>
        <v>#NAME?</v>
      </c>
      <c r="I1001" s="2" t="s">
        <v>5155</v>
      </c>
    </row>
    <row r="1002">
      <c r="A1002" s="1">
        <v>1003.0</v>
      </c>
      <c r="B1002" s="1" t="s">
        <v>5151</v>
      </c>
      <c r="C1002" s="1" t="s">
        <v>5152</v>
      </c>
      <c r="D1002" s="1" t="s">
        <v>5153</v>
      </c>
      <c r="E1002" s="14" t="str">
        <f t="shared" si="2"/>
        <v>#NAME?</v>
      </c>
      <c r="F1002" s="15" t="str">
        <f>IFERROR(__xludf.DUMMYFUNCTION("GOOGLETRANSLATE(D1002,""zh-CN"", ""en"")"),"That's what it means.")</f>
        <v>That's what it means.</v>
      </c>
      <c r="G1002" s="2" t="s">
        <v>5156</v>
      </c>
      <c r="H1002" s="3" t="str">
        <f t="shared" si="1"/>
        <v>#NAME?</v>
      </c>
      <c r="I1002" s="2" t="s">
        <v>5157</v>
      </c>
    </row>
    <row r="1003">
      <c r="A1003" s="1">
        <v>1004.0</v>
      </c>
      <c r="B1003" s="1" t="s">
        <v>5158</v>
      </c>
      <c r="C1003" s="1" t="s">
        <v>5159</v>
      </c>
      <c r="D1003" s="1" t="s">
        <v>5160</v>
      </c>
      <c r="E1003" s="14" t="str">
        <f t="shared" si="2"/>
        <v>#NAME?</v>
      </c>
      <c r="F1003" s="15" t="str">
        <f>IFERROR(__xludf.DUMMYFUNCTION("GOOGLETRANSLATE(D1003,""zh-CN"", ""en"")"),"Look at you!")</f>
        <v>Look at you!</v>
      </c>
      <c r="G1003" s="2" t="s">
        <v>5161</v>
      </c>
      <c r="H1003" s="3" t="str">
        <f t="shared" si="1"/>
        <v>#NAME?</v>
      </c>
      <c r="I1003" s="2" t="s">
        <v>5162</v>
      </c>
    </row>
    <row r="1004">
      <c r="A1004" s="1">
        <v>1005.0</v>
      </c>
      <c r="B1004" s="1" t="s">
        <v>5158</v>
      </c>
      <c r="C1004" s="1" t="s">
        <v>5159</v>
      </c>
      <c r="D1004" s="1" t="s">
        <v>5163</v>
      </c>
      <c r="E1004" s="14" t="str">
        <f t="shared" si="2"/>
        <v>#NAME?</v>
      </c>
      <c r="F1004" s="15" t="str">
        <f>IFERROR(__xludf.DUMMYFUNCTION("GOOGLETRANSLATE(D1004,""zh-CN"", ""en"")"),"Look at you...")</f>
        <v>Look at you...</v>
      </c>
      <c r="G1004" s="2" t="s">
        <v>5164</v>
      </c>
      <c r="H1004" s="3" t="str">
        <f t="shared" si="1"/>
        <v>#NAME?</v>
      </c>
      <c r="I1004" s="2" t="s">
        <v>5165</v>
      </c>
    </row>
    <row r="1005">
      <c r="A1005" s="1">
        <v>1006.0</v>
      </c>
      <c r="B1005" s="1" t="s">
        <v>5166</v>
      </c>
      <c r="C1005" s="1" t="s">
        <v>5167</v>
      </c>
      <c r="D1005" s="1" t="s">
        <v>5168</v>
      </c>
      <c r="E1005" s="14" t="str">
        <f t="shared" si="2"/>
        <v>#NAME?</v>
      </c>
      <c r="F1005" s="15" t="str">
        <f>IFERROR(__xludf.DUMMYFUNCTION("GOOGLETRANSLATE(D1005,""zh-CN"", ""en"")"),"For *'s sake")</f>
        <v>For *'s sake</v>
      </c>
      <c r="G1005" s="2" t="s">
        <v>5169</v>
      </c>
      <c r="H1005" s="3" t="str">
        <f t="shared" si="1"/>
        <v>#NAME?</v>
      </c>
      <c r="I1005" s="2" t="s">
        <v>5170</v>
      </c>
    </row>
    <row r="1006">
      <c r="A1006" s="1">
        <v>1007.0</v>
      </c>
      <c r="B1006" s="1" t="s">
        <v>5166</v>
      </c>
      <c r="C1006" s="1" t="s">
        <v>5167</v>
      </c>
      <c r="D1006" s="1" t="s">
        <v>5171</v>
      </c>
      <c r="E1006" s="14" t="str">
        <f t="shared" si="2"/>
        <v>#NAME?</v>
      </c>
      <c r="F1006" s="15" t="str">
        <f>IFERROR(__xludf.DUMMYFUNCTION("GOOGLETRANSLATE(D1006,""zh-CN"", ""en"")"),"For *'s sake")</f>
        <v>For *'s sake</v>
      </c>
      <c r="G1006" s="2" t="s">
        <v>5172</v>
      </c>
      <c r="H1006" s="3" t="str">
        <f t="shared" si="1"/>
        <v>#NAME?</v>
      </c>
      <c r="I1006" s="2" t="s">
        <v>5173</v>
      </c>
    </row>
    <row r="1007">
      <c r="A1007" s="1">
        <v>1008.0</v>
      </c>
      <c r="B1007" s="1" t="s">
        <v>5174</v>
      </c>
      <c r="C1007" s="1" t="s">
        <v>5175</v>
      </c>
      <c r="D1007" s="1" t="s">
        <v>5176</v>
      </c>
      <c r="E1007" s="14" t="str">
        <f t="shared" si="2"/>
        <v>#NAME?</v>
      </c>
      <c r="F1007" s="15" t="str">
        <f>IFERROR(__xludf.DUMMYFUNCTION("GOOGLETRANSLATE(D1007,""zh-CN"", ""en"")"),"How could it be so*")</f>
        <v>How could it be so*</v>
      </c>
      <c r="G1007" s="2" t="s">
        <v>5177</v>
      </c>
      <c r="H1007" s="3" t="str">
        <f t="shared" si="1"/>
        <v>#NAME?</v>
      </c>
      <c r="I1007" s="2" t="s">
        <v>5178</v>
      </c>
    </row>
    <row r="1008">
      <c r="A1008" s="1">
        <v>1009.0</v>
      </c>
      <c r="B1008" s="1" t="s">
        <v>5174</v>
      </c>
      <c r="C1008" s="1" t="s">
        <v>5175</v>
      </c>
      <c r="D1008" s="1" t="s">
        <v>5179</v>
      </c>
      <c r="E1008" s="14" t="str">
        <f t="shared" si="2"/>
        <v>#NAME?</v>
      </c>
      <c r="F1008" s="15" t="str">
        <f>IFERROR(__xludf.DUMMYFUNCTION("GOOGLETRANSLATE(D1008,""zh-CN"", ""en"")"),"Is there such a thing?")</f>
        <v>Is there such a thing?</v>
      </c>
      <c r="G1008" s="2" t="s">
        <v>5180</v>
      </c>
      <c r="H1008" s="3" t="str">
        <f t="shared" si="1"/>
        <v>#NAME?</v>
      </c>
      <c r="I1008" s="2" t="s">
        <v>5181</v>
      </c>
    </row>
    <row r="1009">
      <c r="A1009" s="1">
        <v>1010.0</v>
      </c>
      <c r="B1009" s="1" t="s">
        <v>5174</v>
      </c>
      <c r="C1009" s="1" t="s">
        <v>5175</v>
      </c>
      <c r="D1009" s="1" t="s">
        <v>5182</v>
      </c>
      <c r="E1009" s="14" t="str">
        <f t="shared" si="2"/>
        <v>#NAME?</v>
      </c>
      <c r="F1009" s="15" t="str">
        <f>IFERROR(__xludf.DUMMYFUNCTION("GOOGLETRANSLATE(D1009,""zh-CN"", ""en"")"),"Is it really that bad?")</f>
        <v>Is it really that bad?</v>
      </c>
      <c r="G1009" s="2" t="s">
        <v>5183</v>
      </c>
      <c r="H1009" s="3" t="str">
        <f t="shared" si="1"/>
        <v>#NAME?</v>
      </c>
      <c r="I1009" s="2" t="s">
        <v>5184</v>
      </c>
    </row>
    <row r="1010">
      <c r="A1010" s="1">
        <v>1011.0</v>
      </c>
      <c r="B1010" s="1" t="s">
        <v>5185</v>
      </c>
      <c r="C1010" s="1" t="s">
        <v>5186</v>
      </c>
      <c r="D1010" s="1" t="s">
        <v>5187</v>
      </c>
      <c r="E1010" s="14" t="str">
        <f t="shared" si="2"/>
        <v>#NAME?</v>
      </c>
      <c r="F1010" s="15" t="str">
        <f>IFERROR(__xludf.DUMMYFUNCTION("GOOGLETRANSLATE(D1010,""zh-CN"", ""en"")"),"What_of_of")</f>
        <v>What_of_of</v>
      </c>
      <c r="G1010" s="2" t="s">
        <v>5188</v>
      </c>
      <c r="H1010" s="3" t="str">
        <f t="shared" si="1"/>
        <v>#NAME?</v>
      </c>
      <c r="I1010" s="2" t="s">
        <v>5189</v>
      </c>
    </row>
    <row r="1011">
      <c r="A1011" s="1">
        <v>1012.0</v>
      </c>
      <c r="B1011" s="1" t="s">
        <v>5185</v>
      </c>
      <c r="C1011" s="1" t="s">
        <v>5186</v>
      </c>
      <c r="D1011" s="1" t="s">
        <v>5187</v>
      </c>
      <c r="E1011" s="14" t="str">
        <f t="shared" si="2"/>
        <v>#NAME?</v>
      </c>
      <c r="F1011" s="15" t="str">
        <f>IFERROR(__xludf.DUMMYFUNCTION("GOOGLETRANSLATE(D1011,""zh-CN"", ""en"")"),"What_of_of")</f>
        <v>What_of_of</v>
      </c>
      <c r="G1011" s="2" t="s">
        <v>5190</v>
      </c>
      <c r="H1011" s="3" t="str">
        <f t="shared" si="1"/>
        <v>#NAME?</v>
      </c>
      <c r="I1011" s="2" t="s">
        <v>5191</v>
      </c>
    </row>
    <row r="1012">
      <c r="A1012" s="1">
        <v>1013.0</v>
      </c>
      <c r="B1012" s="1" t="s">
        <v>5192</v>
      </c>
      <c r="C1012" s="1" t="s">
        <v>5193</v>
      </c>
      <c r="D1012" s="1" t="s">
        <v>5194</v>
      </c>
      <c r="E1012" s="14" t="str">
        <f t="shared" si="2"/>
        <v>#NAME?</v>
      </c>
      <c r="F1012" s="15" t="str">
        <f>IFERROR(__xludf.DUMMYFUNCTION("GOOGLETRANSLATE(D1012,""zh-CN"", ""en"")"),"Where did we go from here?")</f>
        <v>Where did we go from here?</v>
      </c>
      <c r="G1012" s="2" t="s">
        <v>5195</v>
      </c>
      <c r="H1012" s="3" t="str">
        <f t="shared" si="1"/>
        <v>#NAME?</v>
      </c>
      <c r="I1012" s="2" t="s">
        <v>5196</v>
      </c>
    </row>
    <row r="1013">
      <c r="A1013" s="1">
        <v>1014.0</v>
      </c>
      <c r="B1013" s="1" t="s">
        <v>5192</v>
      </c>
      <c r="C1013" s="1" t="s">
        <v>5193</v>
      </c>
      <c r="D1013" s="1" t="s">
        <v>5197</v>
      </c>
      <c r="E1013" s="14" t="str">
        <f t="shared" si="2"/>
        <v>#NAME?</v>
      </c>
      <c r="F1013" s="15" t="str">
        <f>IFERROR(__xludf.DUMMYFUNCTION("GOOGLETRANSLATE(D1013,""zh-CN"", ""en"")"),"What are you thinking?")</f>
        <v>What are you thinking?</v>
      </c>
      <c r="G1013" s="2" t="s">
        <v>5198</v>
      </c>
      <c r="H1013" s="3" t="str">
        <f t="shared" si="1"/>
        <v>#NAME?</v>
      </c>
      <c r="I1013" s="2" t="s">
        <v>5199</v>
      </c>
    </row>
    <row r="1014">
      <c r="A1014" s="1">
        <v>1015.0</v>
      </c>
      <c r="B1014" s="1" t="s">
        <v>5200</v>
      </c>
      <c r="C1014" s="1" t="s">
        <v>5201</v>
      </c>
      <c r="D1014" s="1" t="s">
        <v>5202</v>
      </c>
      <c r="E1014" s="14" t="str">
        <f t="shared" si="2"/>
        <v>#NAME?</v>
      </c>
      <c r="F1014" s="15" t="str">
        <f>IFERROR(__xludf.DUMMYFUNCTION("GOOGLETRANSLATE(D1014,""zh-CN"", ""en"")"),"It doesn't matter_no_")</f>
        <v>It doesn't matter_no_</v>
      </c>
      <c r="G1014" s="2" t="s">
        <v>5203</v>
      </c>
      <c r="H1014" s="3" t="str">
        <f t="shared" si="1"/>
        <v>#NAME?</v>
      </c>
      <c r="I1014" s="2" t="s">
        <v>5204</v>
      </c>
    </row>
    <row r="1015">
      <c r="A1015" s="1">
        <v>1016.0</v>
      </c>
      <c r="B1015" s="1" t="s">
        <v>5200</v>
      </c>
      <c r="C1015" s="1" t="s">
        <v>5201</v>
      </c>
      <c r="D1015" s="1" t="s">
        <v>5202</v>
      </c>
      <c r="E1015" s="14" t="str">
        <f t="shared" si="2"/>
        <v>#NAME?</v>
      </c>
      <c r="F1015" s="15" t="str">
        <f>IFERROR(__xludf.DUMMYFUNCTION("GOOGLETRANSLATE(D1015,""zh-CN"", ""en"")"),"It doesn't matter_no_")</f>
        <v>It doesn't matter_no_</v>
      </c>
      <c r="G1015" s="2" t="s">
        <v>5205</v>
      </c>
      <c r="H1015" s="3" t="str">
        <f t="shared" si="1"/>
        <v>#NAME?</v>
      </c>
      <c r="I1015" s="2" t="s">
        <v>5206</v>
      </c>
    </row>
    <row r="1016">
      <c r="A1016" s="1">
        <v>1017.0</v>
      </c>
      <c r="B1016" s="1" t="s">
        <v>5207</v>
      </c>
      <c r="C1016" s="1" t="s">
        <v>5208</v>
      </c>
      <c r="D1016" s="1" t="s">
        <v>5209</v>
      </c>
      <c r="E1016" s="14" t="str">
        <f t="shared" si="2"/>
        <v>#NAME?</v>
      </c>
      <c r="F1016" s="15" t="str">
        <f>IFERROR(__xludf.DUMMYFUNCTION("GOOGLETRANSLATE(D1016,""zh-CN"", ""en"")"),"I have money.")</f>
        <v>I have money.</v>
      </c>
      <c r="G1016" s="2" t="s">
        <v>5210</v>
      </c>
      <c r="H1016" s="3" t="str">
        <f t="shared" si="1"/>
        <v>#NAME?</v>
      </c>
      <c r="I1016" s="2" t="s">
        <v>5211</v>
      </c>
    </row>
    <row r="1017">
      <c r="A1017" s="1">
        <v>1018.0</v>
      </c>
      <c r="B1017" s="1" t="s">
        <v>5207</v>
      </c>
      <c r="C1017" s="1" t="s">
        <v>5208</v>
      </c>
      <c r="D1017" s="1" t="s">
        <v>5212</v>
      </c>
      <c r="E1017" s="14" t="str">
        <f t="shared" si="2"/>
        <v>#NAME?</v>
      </c>
      <c r="F1017" s="15" t="str">
        <f>IFERROR(__xludf.DUMMYFUNCTION("GOOGLETRANSLATE(D1017,""zh-CN"", ""en"")"),"I have no money.")</f>
        <v>I have no money.</v>
      </c>
      <c r="G1017" s="2" t="s">
        <v>5213</v>
      </c>
      <c r="H1017" s="3" t="str">
        <f t="shared" si="1"/>
        <v>#NAME?</v>
      </c>
      <c r="I1017" s="2" t="s">
        <v>5214</v>
      </c>
    </row>
    <row r="1018">
      <c r="F1018" s="15"/>
      <c r="G1018" s="15"/>
      <c r="H1018" s="3"/>
      <c r="I1018" s="15"/>
    </row>
    <row r="1019">
      <c r="F1019" s="15"/>
      <c r="G1019" s="15"/>
      <c r="H1019" s="3"/>
      <c r="I1019" s="15"/>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80"/>
    <hyperlink r:id="rId563" ref="J581"/>
    <hyperlink r:id="rId564" ref="J582"/>
    <hyperlink r:id="rId565" ref="J583"/>
    <hyperlink r:id="rId566" ref="J584"/>
    <hyperlink r:id="rId567" ref="J585"/>
    <hyperlink r:id="rId568" ref="J586"/>
    <hyperlink r:id="rId569" ref="J587"/>
    <hyperlink r:id="rId570" ref="J588"/>
    <hyperlink r:id="rId571" ref="J589"/>
    <hyperlink r:id="rId572" ref="J590"/>
    <hyperlink r:id="rId573" ref="J591"/>
    <hyperlink r:id="rId574" ref="J592"/>
    <hyperlink r:id="rId575" ref="J593"/>
    <hyperlink r:id="rId576" ref="J594"/>
    <hyperlink r:id="rId577" ref="J595"/>
    <hyperlink r:id="rId578" ref="J596"/>
    <hyperlink r:id="rId579" ref="J597"/>
    <hyperlink r:id="rId580" ref="J598"/>
    <hyperlink r:id="rId581" ref="J599"/>
    <hyperlink r:id="rId582" ref="J600"/>
    <hyperlink r:id="rId583" ref="J601"/>
    <hyperlink r:id="rId584" ref="J602"/>
    <hyperlink r:id="rId585" ref="J603"/>
    <hyperlink r:id="rId586" ref="J604"/>
    <hyperlink r:id="rId587" ref="J605"/>
    <hyperlink r:id="rId588" ref="J606"/>
    <hyperlink r:id="rId589" ref="J607"/>
    <hyperlink r:id="rId590" ref="J608"/>
    <hyperlink r:id="rId591" ref="J609"/>
    <hyperlink r:id="rId592" ref="J610"/>
    <hyperlink r:id="rId593" ref="J611"/>
    <hyperlink r:id="rId594" ref="J612"/>
    <hyperlink r:id="rId595" ref="J613"/>
    <hyperlink r:id="rId596" ref="J614"/>
    <hyperlink r:id="rId597" ref="J615"/>
    <hyperlink r:id="rId598" ref="J616"/>
    <hyperlink r:id="rId599" ref="J617"/>
    <hyperlink r:id="rId600" ref="J618"/>
    <hyperlink r:id="rId601" ref="J619"/>
    <hyperlink r:id="rId602" ref="J620"/>
    <hyperlink r:id="rId603" ref="J621"/>
    <hyperlink r:id="rId604" ref="J622"/>
    <hyperlink r:id="rId605" ref="J623"/>
    <hyperlink r:id="rId606" ref="J624"/>
    <hyperlink r:id="rId607" ref="J625"/>
    <hyperlink r:id="rId608" ref="J626"/>
    <hyperlink r:id="rId609" ref="J627"/>
    <hyperlink r:id="rId610" ref="J628"/>
    <hyperlink r:id="rId611" ref="J629"/>
    <hyperlink r:id="rId612" ref="J630"/>
    <hyperlink r:id="rId613" ref="J631"/>
    <hyperlink r:id="rId614" ref="J632"/>
    <hyperlink r:id="rId615" ref="J633"/>
    <hyperlink r:id="rId616" ref="J634"/>
    <hyperlink r:id="rId617" ref="J635"/>
    <hyperlink r:id="rId618" ref="J636"/>
    <hyperlink r:id="rId619" ref="J637"/>
    <hyperlink r:id="rId620" ref="J638"/>
    <hyperlink r:id="rId621" ref="J639"/>
    <hyperlink r:id="rId622" ref="J640"/>
    <hyperlink r:id="rId623" ref="J641"/>
    <hyperlink r:id="rId624" ref="J642"/>
    <hyperlink r:id="rId625" ref="J643"/>
    <hyperlink r:id="rId626" ref="J644"/>
    <hyperlink r:id="rId627" ref="J645"/>
    <hyperlink r:id="rId628" ref="J646"/>
    <hyperlink r:id="rId629" ref="J647"/>
    <hyperlink r:id="rId630" ref="J648"/>
    <hyperlink r:id="rId631" ref="J649"/>
    <hyperlink r:id="rId632" ref="J650"/>
    <hyperlink r:id="rId633" ref="J651"/>
    <hyperlink r:id="rId634" ref="J652"/>
    <hyperlink r:id="rId635" ref="J653"/>
    <hyperlink r:id="rId636" ref="J654"/>
    <hyperlink r:id="rId637" ref="J655"/>
    <hyperlink r:id="rId638" ref="J656"/>
    <hyperlink r:id="rId639" ref="J657"/>
    <hyperlink r:id="rId640" ref="J658"/>
    <hyperlink r:id="rId641" ref="J659"/>
    <hyperlink r:id="rId642" ref="J660"/>
    <hyperlink r:id="rId643" ref="J661"/>
    <hyperlink r:id="rId644" ref="J662"/>
    <hyperlink r:id="rId645" ref="J663"/>
    <hyperlink r:id="rId646" ref="J664"/>
    <hyperlink r:id="rId647" ref="J665"/>
    <hyperlink r:id="rId648" ref="J666"/>
    <hyperlink r:id="rId649" ref="J667"/>
    <hyperlink r:id="rId650" ref="J668"/>
    <hyperlink r:id="rId651" ref="J669"/>
    <hyperlink r:id="rId652" ref="J670"/>
    <hyperlink r:id="rId653" ref="J671"/>
    <hyperlink r:id="rId654" ref="J672"/>
    <hyperlink r:id="rId655" ref="J673"/>
    <hyperlink r:id="rId656" ref="J674"/>
    <hyperlink r:id="rId657" ref="J675"/>
    <hyperlink r:id="rId658" ref="J676"/>
    <hyperlink r:id="rId659" ref="J677"/>
    <hyperlink r:id="rId660" ref="J678"/>
    <hyperlink r:id="rId661" ref="J679"/>
    <hyperlink r:id="rId662" ref="J680"/>
    <hyperlink r:id="rId663" ref="J681"/>
    <hyperlink r:id="rId664" ref="J682"/>
    <hyperlink r:id="rId665" ref="J683"/>
    <hyperlink r:id="rId666" ref="J684"/>
    <hyperlink r:id="rId667" ref="J685"/>
    <hyperlink r:id="rId668" ref="J686"/>
    <hyperlink r:id="rId669" ref="J687"/>
    <hyperlink r:id="rId670" ref="J688"/>
    <hyperlink r:id="rId671" ref="J689"/>
    <hyperlink r:id="rId672" ref="J690"/>
    <hyperlink r:id="rId673" ref="J691"/>
    <hyperlink r:id="rId674" ref="J692"/>
    <hyperlink r:id="rId675" ref="J693"/>
  </hyperlinks>
  <printOptions gridLines="1" horizontalCentered="1"/>
  <pageMargins bottom="0.75" footer="0.0" header="0.0" left="0.7" right="0.7" top="0.75"/>
  <pageSetup fitToHeight="0" cellComments="atEnd" orientation="landscape" pageOrder="overThenDown"/>
  <drawing r:id="rId6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